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KIM\Desktop\"/>
    </mc:Choice>
  </mc:AlternateContent>
  <xr:revisionPtr revIDLastSave="0" documentId="13_ncr:1_{CDE3535E-4FEA-462B-9D50-A4BBF8C93B2C}" xr6:coauthVersionLast="47" xr6:coauthVersionMax="47" xr10:uidLastSave="{00000000-0000-0000-0000-000000000000}"/>
  <bookViews>
    <workbookView xWindow="34452" yWindow="6228" windowWidth="23256" windowHeight="12456" activeTab="1" xr2:uid="{7453B445-7095-4582-ACAE-BBB40EA0D2E1}"/>
  </bookViews>
  <sheets>
    <sheet name="스타일1" sheetId="4" r:id="rId1"/>
    <sheet name="스타일2" sheetId="2" r:id="rId2"/>
  </sheets>
  <externalReferences>
    <externalReference r:id="rId3"/>
    <externalReference r:id="rId4"/>
    <externalReference r:id="rId5"/>
  </externalReferences>
  <definedNames>
    <definedName name="_xlnm.Print_Area" localSheetId="1">스타일2!$A$38:$W$65</definedName>
    <definedName name="rng공휴일">OFFSET([1]일정관리!$A$1,,,COUNTA([1]일정관리!$A:$A),3)</definedName>
    <definedName name="rng공휴일날짜">OFFSET([1]일정관리!$A$1,,,COUNTA([1]일정관리!$A:$A))</definedName>
    <definedName name="rng공휴일명">OFFSET([1]일정관리!$C$1,,,COUNTA([1]일정관리!$A:$A))</definedName>
    <definedName name="rng신규메모">INDEX([1]일정관리!$W:$W,MATCH("*",[1]일정관리!$X:$X,-1)+1)</definedName>
    <definedName name="rng신규반복일정">INDEX([1]일정관리!$AA:$AA,MATCH("*",[1]일정관리!$AA:$AA,-1)+1)</definedName>
    <definedName name="rng신규일정">INDEX([1]일정관리!$J:$J,MATCH("*",[1]일정관리!$K:$K,-1)+1)</definedName>
    <definedName name="rng신규휴일">INDEX([1]일정관리!$B:$B,MATCH("*",[1]일정관리!$C:$C,-1)+1)</definedName>
    <definedName name="rng일정">OFFSET([1]일정관리!$J$2,,,COUNTA([1]일정관리!$J:$J)-1)</definedName>
    <definedName name="rng일정명">OFFSET([1]일정관리!$N$2,,,COUNTA([1]일정관리!$J:$J)-1)</definedName>
    <definedName name="rng일정색상">OFFSET([1]일정관리!$M$2,,,COUNTA([1]일정관리!$J:$J)-1)</definedName>
    <definedName name="구분">[2]조건부서식_간트차트_예제!$D1</definedName>
    <definedName name="내일">[2]조건부서식_간트차트_예제!B$5</definedName>
    <definedName name="단위">[2]조건부서식_간트차트_예제!$E$7</definedName>
    <definedName name="달력색상1">[1]달력!$B$5:$AJ$5,[1]달력!$AL$3</definedName>
    <definedName name="색ID">[2]조건부서식_간트차트_예제!$C1</definedName>
    <definedName name="스케쥴">[3]일정표!$P$6:$P$17,[3]일정표!$N$6:$N$17,[3]일정표!$L$6:$L$17,[3]일정표!$J$6:$J$17,[3]일정표!$H$6:$H$17</definedName>
    <definedName name="시작일">[2]조건부서식_간트차트_예제!$K1</definedName>
    <definedName name="오늘">[2]조건부서식_간트차트_예제!A$5</definedName>
    <definedName name="종료일">[2]조건부서식_간트차트_예제!$M1</definedName>
    <definedName name="진행률">[2]조건부서식_간트차트_예제!$N1</definedName>
    <definedName name="진행일">[2]조건부서식_간트차트_예제!$Q1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" i="2" l="1"/>
  <c r="V20" i="2"/>
  <c r="T20" i="2"/>
  <c r="S20" i="2"/>
  <c r="Q20" i="2"/>
  <c r="U20" i="2" s="1"/>
  <c r="M20" i="2"/>
  <c r="L20" i="2"/>
  <c r="O20" i="2" s="1"/>
  <c r="H20" i="2"/>
  <c r="G20" i="2"/>
  <c r="W19" i="2"/>
  <c r="V19" i="2"/>
  <c r="T19" i="2"/>
  <c r="S19" i="2"/>
  <c r="Q19" i="2"/>
  <c r="U19" i="2" s="1"/>
  <c r="M19" i="2"/>
  <c r="L19" i="2"/>
  <c r="O19" i="2" s="1"/>
  <c r="H19" i="2"/>
  <c r="G19" i="2"/>
  <c r="H17" i="2"/>
  <c r="G17" i="2" s="1"/>
  <c r="M17" i="2"/>
  <c r="L17" i="2" s="1"/>
  <c r="H18" i="2"/>
  <c r="G18" i="2" s="1"/>
  <c r="M18" i="2"/>
  <c r="L18" i="2" s="1"/>
  <c r="H21" i="2"/>
  <c r="G21" i="2" s="1"/>
  <c r="M21" i="2"/>
  <c r="L21" i="2" s="1"/>
  <c r="O21" i="2" s="1"/>
  <c r="H22" i="2"/>
  <c r="G22" i="2" s="1"/>
  <c r="M22" i="2"/>
  <c r="L22" i="2" s="1"/>
  <c r="O22" i="2" s="1"/>
  <c r="H23" i="2"/>
  <c r="G23" i="2" s="1"/>
  <c r="M23" i="2"/>
  <c r="L23" i="2" s="1"/>
  <c r="O23" i="2" s="1"/>
  <c r="H24" i="2"/>
  <c r="G24" i="2" s="1"/>
  <c r="M24" i="2"/>
  <c r="L24" i="2" s="1"/>
  <c r="O24" i="2" s="1"/>
  <c r="H25" i="2"/>
  <c r="G25" i="2" s="1"/>
  <c r="M25" i="2"/>
  <c r="L25" i="2" s="1"/>
  <c r="H26" i="2"/>
  <c r="G26" i="2" s="1"/>
  <c r="M26" i="2"/>
  <c r="L26" i="2" s="1"/>
  <c r="H27" i="2"/>
  <c r="G27" i="2" s="1"/>
  <c r="M27" i="2"/>
  <c r="L27" i="2" s="1"/>
  <c r="H28" i="2"/>
  <c r="G28" i="2" s="1"/>
  <c r="M28" i="2"/>
  <c r="L28" i="2" s="1"/>
  <c r="W22" i="2"/>
  <c r="T22" i="2"/>
  <c r="V22" i="2" s="1"/>
  <c r="S22" i="2"/>
  <c r="Q22" i="2"/>
  <c r="U22" i="2" s="1"/>
  <c r="W21" i="2"/>
  <c r="V21" i="2"/>
  <c r="T21" i="2"/>
  <c r="S21" i="2"/>
  <c r="Q21" i="2"/>
  <c r="U21" i="2" s="1"/>
  <c r="W24" i="2"/>
  <c r="T24" i="2"/>
  <c r="V24" i="2" s="1"/>
  <c r="S24" i="2"/>
  <c r="Q24" i="2"/>
  <c r="U24" i="2" s="1"/>
  <c r="W23" i="2"/>
  <c r="V23" i="2"/>
  <c r="T23" i="2"/>
  <c r="S23" i="2"/>
  <c r="Q23" i="2"/>
  <c r="U23" i="2" s="1"/>
  <c r="G4" i="4"/>
  <c r="J4" i="4"/>
  <c r="I4" i="4" s="1"/>
  <c r="O4" i="4"/>
  <c r="Q4" i="4"/>
  <c r="T4" i="4"/>
  <c r="S4" i="4" s="1"/>
  <c r="Q6" i="4" s="1"/>
  <c r="T6" i="4" s="1"/>
  <c r="X4" i="4"/>
  <c r="AA4" i="4"/>
  <c r="AD4" i="4"/>
  <c r="O5" i="4"/>
  <c r="X5" i="4"/>
  <c r="AA5" i="4"/>
  <c r="O6" i="4"/>
  <c r="X6" i="4"/>
  <c r="AA6" i="4"/>
  <c r="O7" i="4"/>
  <c r="X7" i="4"/>
  <c r="O8" i="4"/>
  <c r="X8" i="4"/>
  <c r="O9" i="4"/>
  <c r="X9" i="4"/>
  <c r="O10" i="4"/>
  <c r="X10" i="4"/>
  <c r="O11" i="4"/>
  <c r="X11" i="4"/>
  <c r="O12" i="4"/>
  <c r="X12" i="4"/>
  <c r="O13" i="4"/>
  <c r="X13" i="4"/>
  <c r="J14" i="4"/>
  <c r="I14" i="4" s="1"/>
  <c r="L14" i="4" s="1"/>
  <c r="O14" i="4"/>
  <c r="T14" i="4"/>
  <c r="S14" i="4" s="1"/>
  <c r="X14" i="4"/>
  <c r="AA14" i="4"/>
  <c r="AB14" i="4"/>
  <c r="AD14" i="4"/>
  <c r="J15" i="4"/>
  <c r="I15" i="4" s="1"/>
  <c r="L15" i="4" s="1"/>
  <c r="O15" i="4"/>
  <c r="T15" i="4"/>
  <c r="S15" i="4" s="1"/>
  <c r="X15" i="4"/>
  <c r="AA15" i="4"/>
  <c r="AB15" i="4"/>
  <c r="AD15" i="4"/>
  <c r="I16" i="4"/>
  <c r="L16" i="4" s="1"/>
  <c r="J16" i="4"/>
  <c r="O16" i="4"/>
  <c r="T16" i="4"/>
  <c r="S16" i="4" s="1"/>
  <c r="U16" i="4"/>
  <c r="U15" i="4" s="1"/>
  <c r="U14" i="4" s="1"/>
  <c r="U13" i="4" s="1"/>
  <c r="U12" i="4" s="1"/>
  <c r="U11" i="4" s="1"/>
  <c r="U10" i="4" s="1"/>
  <c r="U9" i="4" s="1"/>
  <c r="U8" i="4" s="1"/>
  <c r="U7" i="4" s="1"/>
  <c r="U6" i="4" s="1"/>
  <c r="U5" i="4" s="1"/>
  <c r="U4" i="4" s="1"/>
  <c r="W16" i="4"/>
  <c r="W15" i="4" s="1"/>
  <c r="W14" i="4" s="1"/>
  <c r="W13" i="4" s="1"/>
  <c r="W12" i="4" s="1"/>
  <c r="W11" i="4" s="1"/>
  <c r="W10" i="4" s="1"/>
  <c r="W9" i="4" s="1"/>
  <c r="W8" i="4" s="1"/>
  <c r="W7" i="4" s="1"/>
  <c r="W6" i="4" s="1"/>
  <c r="W5" i="4" s="1"/>
  <c r="W4" i="4" s="1"/>
  <c r="X16" i="4"/>
  <c r="Z16" i="4"/>
  <c r="Z15" i="4" s="1"/>
  <c r="AA16" i="4"/>
  <c r="AD16" i="4" s="1"/>
  <c r="AB16" i="4"/>
  <c r="AC16" i="4" s="1"/>
  <c r="J17" i="4"/>
  <c r="I17" i="4" s="1"/>
  <c r="L17" i="4" s="1"/>
  <c r="O17" i="4"/>
  <c r="T17" i="4"/>
  <c r="S17" i="4" s="1"/>
  <c r="X17" i="4"/>
  <c r="AA17" i="4"/>
  <c r="AB17" i="4"/>
  <c r="AC17" i="4" s="1"/>
  <c r="AD17" i="4"/>
  <c r="Q5" i="4" l="1"/>
  <c r="T5" i="4" s="1"/>
  <c r="S5" i="4" s="1"/>
  <c r="L4" i="4"/>
  <c r="G5" i="4"/>
  <c r="J5" i="4" s="1"/>
  <c r="G6" i="4"/>
  <c r="AC15" i="4"/>
  <c r="Z14" i="4"/>
  <c r="S6" i="4"/>
  <c r="Q8" i="4"/>
  <c r="T8" i="4" s="1"/>
  <c r="Q7" i="4"/>
  <c r="T7" i="4" s="1"/>
  <c r="S7" i="4" s="1"/>
  <c r="Q9" i="4" l="1"/>
  <c r="S8" i="4"/>
  <c r="AC14" i="4"/>
  <c r="Z13" i="4"/>
  <c r="Z12" i="4" s="1"/>
  <c r="AD6" i="4"/>
  <c r="J6" i="4"/>
  <c r="AA7" i="4"/>
  <c r="AA8" i="4"/>
  <c r="I5" i="4"/>
  <c r="L5" i="4" s="1"/>
  <c r="AD5" i="4"/>
  <c r="G7" i="4" l="1"/>
  <c r="J7" i="4" s="1"/>
  <c r="I7" i="4" s="1"/>
  <c r="L7" i="4" s="1"/>
  <c r="AA10" i="4"/>
  <c r="G8" i="4"/>
  <c r="J8" i="4" s="1"/>
  <c r="I6" i="4"/>
  <c r="L6" i="4" s="1"/>
  <c r="AD7" i="4"/>
  <c r="Z11" i="4"/>
  <c r="AB13" i="4"/>
  <c r="AC13" i="4" s="1"/>
  <c r="T9" i="4"/>
  <c r="S9" i="4" s="1"/>
  <c r="Q10" i="4" s="1"/>
  <c r="T10" i="4" s="1"/>
  <c r="S10" i="4" l="1"/>
  <c r="Q11" i="4"/>
  <c r="T11" i="4" s="1"/>
  <c r="Z10" i="4"/>
  <c r="Z9" i="4" s="1"/>
  <c r="AB12" i="4"/>
  <c r="AC12" i="4" s="1"/>
  <c r="G9" i="4"/>
  <c r="I8" i="4"/>
  <c r="L8" i="4" s="1"/>
  <c r="AA9" i="4"/>
  <c r="AD9" i="4" s="1"/>
  <c r="AD8" i="4"/>
  <c r="J9" i="4" l="1"/>
  <c r="S11" i="4"/>
  <c r="Q12" i="4"/>
  <c r="T12" i="4" s="1"/>
  <c r="Z8" i="4"/>
  <c r="AB11" i="4"/>
  <c r="AC11" i="4" s="1"/>
  <c r="Q13" i="4" l="1"/>
  <c r="T13" i="4" s="1"/>
  <c r="S13" i="4" s="1"/>
  <c r="S12" i="4"/>
  <c r="AB9" i="4"/>
  <c r="AC9" i="4" s="1"/>
  <c r="Z7" i="4"/>
  <c r="Z6" i="4" s="1"/>
  <c r="I9" i="4"/>
  <c r="AA11" i="4"/>
  <c r="Z5" i="4" l="1"/>
  <c r="AB10" i="4"/>
  <c r="AC10" i="4" s="1"/>
  <c r="L9" i="4"/>
  <c r="G10" i="4"/>
  <c r="J10" i="4" l="1"/>
  <c r="AD10" i="4"/>
  <c r="AB7" i="4"/>
  <c r="AC7" i="4" s="1"/>
  <c r="Z4" i="4"/>
  <c r="AB8" i="4"/>
  <c r="AC8" i="4" s="1"/>
  <c r="AB6" i="4" l="1"/>
  <c r="AC6" i="4" s="1"/>
  <c r="AB4" i="4"/>
  <c r="AC4" i="4" s="1"/>
  <c r="AB5" i="4"/>
  <c r="AC5" i="4" s="1"/>
  <c r="I10" i="4"/>
  <c r="L10" i="4" s="1"/>
  <c r="G11" i="4"/>
  <c r="J11" i="4" l="1"/>
  <c r="AD11" i="4"/>
  <c r="AA12" i="4" l="1"/>
  <c r="AD12" i="4" s="1"/>
  <c r="I11" i="4"/>
  <c r="L11" i="4" s="1"/>
  <c r="G12" i="4"/>
  <c r="J12" i="4" s="1"/>
  <c r="G13" i="4" l="1"/>
  <c r="J13" i="4" s="1"/>
  <c r="I13" i="4" s="1"/>
  <c r="L13" i="4" s="1"/>
  <c r="AA13" i="4"/>
  <c r="AD13" i="4" s="1"/>
  <c r="I12" i="4"/>
  <c r="L12" i="4" s="1"/>
  <c r="T31" i="2" l="1"/>
  <c r="T30" i="2"/>
  <c r="T29" i="2"/>
  <c r="T28" i="2"/>
  <c r="T27" i="2"/>
  <c r="T26" i="2"/>
  <c r="T25" i="2"/>
  <c r="T18" i="2"/>
  <c r="T17" i="2"/>
  <c r="W31" i="2"/>
  <c r="W30" i="2"/>
  <c r="W29" i="2"/>
  <c r="W28" i="2"/>
  <c r="W27" i="2"/>
  <c r="W26" i="2"/>
  <c r="W25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Y4" i="2" l="1"/>
  <c r="M31" i="2"/>
  <c r="L31" i="2" s="1"/>
  <c r="O31" i="2" s="1"/>
  <c r="M30" i="2"/>
  <c r="L30" i="2" s="1"/>
  <c r="O30" i="2" s="1"/>
  <c r="M29" i="2"/>
  <c r="L29" i="2" s="1"/>
  <c r="O29" i="2" s="1"/>
  <c r="O28" i="2"/>
  <c r="O27" i="2"/>
  <c r="O26" i="2"/>
  <c r="O25" i="2"/>
  <c r="O18" i="2"/>
  <c r="O17" i="2"/>
  <c r="M16" i="2"/>
  <c r="L16" i="2" s="1"/>
  <c r="O16" i="2" s="1"/>
  <c r="M15" i="2"/>
  <c r="H31" i="2"/>
  <c r="H30" i="2"/>
  <c r="G30" i="2" s="1"/>
  <c r="H29" i="2"/>
  <c r="G29" i="2" s="1"/>
  <c r="H16" i="2"/>
  <c r="G16" i="2" s="1"/>
  <c r="H15" i="2"/>
  <c r="G15" i="2" s="1"/>
  <c r="V17" i="2"/>
  <c r="V18" i="2"/>
  <c r="V25" i="2"/>
  <c r="V26" i="2"/>
  <c r="V27" i="2"/>
  <c r="V28" i="2"/>
  <c r="V29" i="2"/>
  <c r="V30" i="2"/>
  <c r="V31" i="2"/>
  <c r="S30" i="2"/>
  <c r="S29" i="2"/>
  <c r="S28" i="2"/>
  <c r="S27" i="2"/>
  <c r="S26" i="2"/>
  <c r="S25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Q6" i="2"/>
  <c r="U6" i="2" s="1"/>
  <c r="Q7" i="2"/>
  <c r="U7" i="2" s="1"/>
  <c r="Q8" i="2"/>
  <c r="U8" i="2" s="1"/>
  <c r="Q9" i="2"/>
  <c r="Q10" i="2"/>
  <c r="Q11" i="2"/>
  <c r="U11" i="2" s="1"/>
  <c r="Q12" i="2"/>
  <c r="U12" i="2" s="1"/>
  <c r="Q13" i="2"/>
  <c r="Q14" i="2"/>
  <c r="U14" i="2" s="1"/>
  <c r="U31" i="2"/>
  <c r="Q30" i="2"/>
  <c r="U30" i="2" s="1"/>
  <c r="Q29" i="2"/>
  <c r="U29" i="2" s="1"/>
  <c r="Q28" i="2"/>
  <c r="U28" i="2" s="1"/>
  <c r="Q27" i="2"/>
  <c r="U27" i="2" s="1"/>
  <c r="Q26" i="2"/>
  <c r="U26" i="2" s="1"/>
  <c r="Q25" i="2"/>
  <c r="U25" i="2" s="1"/>
  <c r="Q18" i="2"/>
  <c r="U18" i="2" s="1"/>
  <c r="Q17" i="2"/>
  <c r="U17" i="2" s="1"/>
  <c r="Q16" i="2"/>
  <c r="U16" i="2" s="1"/>
  <c r="Q15" i="2"/>
  <c r="U15" i="2" s="1"/>
  <c r="U10" i="2" l="1"/>
  <c r="U9" i="2"/>
  <c r="U13" i="2"/>
  <c r="L15" i="2"/>
  <c r="T16" i="2"/>
  <c r="G31" i="2"/>
  <c r="O15" i="2"/>
  <c r="V16" i="2"/>
  <c r="M14" i="2"/>
  <c r="H14" i="2"/>
  <c r="G14" i="2" s="1"/>
  <c r="M13" i="2"/>
  <c r="T14" i="2" s="1"/>
  <c r="H13" i="2"/>
  <c r="G13" i="2" s="1"/>
  <c r="M12" i="2"/>
  <c r="H12" i="2"/>
  <c r="G12" i="2" s="1"/>
  <c r="V11" i="2"/>
  <c r="M11" i="2"/>
  <c r="H11" i="2"/>
  <c r="G11" i="2" s="1"/>
  <c r="M10" i="2"/>
  <c r="T12" i="2" s="1"/>
  <c r="H10" i="2"/>
  <c r="G10" i="2" s="1"/>
  <c r="M9" i="2"/>
  <c r="L9" i="2" s="1"/>
  <c r="O9" i="2" s="1"/>
  <c r="H9" i="2"/>
  <c r="G9" i="2" s="1"/>
  <c r="M8" i="2"/>
  <c r="H8" i="2"/>
  <c r="G8" i="2" s="1"/>
  <c r="M7" i="2"/>
  <c r="H7" i="2"/>
  <c r="G7" i="2" s="1"/>
  <c r="V6" i="2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M6" i="2"/>
  <c r="H6" i="2"/>
  <c r="G6" i="2" s="1"/>
  <c r="R5" i="2"/>
  <c r="R21" i="2" l="1"/>
  <c r="R22" i="2" s="1"/>
  <c r="R19" i="2"/>
  <c r="R20" i="2" s="1"/>
  <c r="L7" i="2"/>
  <c r="T8" i="2"/>
  <c r="V8" i="2" s="1"/>
  <c r="L8" i="2"/>
  <c r="T10" i="2"/>
  <c r="T9" i="2"/>
  <c r="L12" i="2"/>
  <c r="O12" i="2" s="1"/>
  <c r="T13" i="2"/>
  <c r="V13" i="2" s="1"/>
  <c r="L14" i="2"/>
  <c r="O14" i="2" s="1"/>
  <c r="T15" i="2"/>
  <c r="V15" i="2" s="1"/>
  <c r="Z4" i="2"/>
  <c r="T7" i="2"/>
  <c r="V7" i="2" s="1"/>
  <c r="T6" i="2"/>
  <c r="L11" i="2"/>
  <c r="T11" i="2"/>
  <c r="R25" i="2"/>
  <c r="R26" i="2" s="1"/>
  <c r="R27" i="2" s="1"/>
  <c r="R28" i="2" s="1"/>
  <c r="R29" i="2" s="1"/>
  <c r="R30" i="2" s="1"/>
  <c r="R31" i="2" s="1"/>
  <c r="R23" i="2"/>
  <c r="R24" i="2" s="1"/>
  <c r="L6" i="2"/>
  <c r="O6" i="2" s="1"/>
  <c r="O11" i="2"/>
  <c r="O8" i="2"/>
  <c r="V10" i="2"/>
  <c r="V9" i="2"/>
  <c r="O7" i="2"/>
  <c r="L10" i="2"/>
  <c r="L13" i="2"/>
  <c r="N3" i="2" l="1"/>
  <c r="E2" i="2" s="1"/>
  <c r="O13" i="2"/>
  <c r="V14" i="2"/>
  <c r="O10" i="2"/>
  <c r="V12" i="2"/>
</calcChain>
</file>

<file path=xl/sharedStrings.xml><?xml version="1.0" encoding="utf-8"?>
<sst xmlns="http://schemas.openxmlformats.org/spreadsheetml/2006/main" count="144" uniqueCount="114">
  <si>
    <t>프로젝트제목</t>
    <phoneticPr fontId="3" type="noConversion"/>
  </si>
  <si>
    <t>오빠두엑셀 프로젝트</t>
    <phoneticPr fontId="3" type="noConversion"/>
  </si>
  <si>
    <t>오늘날짜</t>
    <phoneticPr fontId="3" type="noConversion"/>
  </si>
  <si>
    <t>총 진행률</t>
    <phoneticPr fontId="3" type="noConversion"/>
  </si>
  <si>
    <t>계획</t>
    <phoneticPr fontId="3" type="noConversion"/>
  </si>
  <si>
    <t>진행</t>
    <phoneticPr fontId="3" type="noConversion"/>
  </si>
  <si>
    <t>진행업무</t>
    <phoneticPr fontId="3" type="noConversion"/>
  </si>
  <si>
    <t>시작일</t>
    <phoneticPr fontId="3" type="noConversion"/>
  </si>
  <si>
    <t>작업일수</t>
    <phoneticPr fontId="3" type="noConversion"/>
  </si>
  <si>
    <t>경과일수</t>
    <phoneticPr fontId="3" type="noConversion"/>
  </si>
  <si>
    <t>종료일</t>
    <phoneticPr fontId="3" type="noConversion"/>
  </si>
  <si>
    <t>진행현황</t>
    <phoneticPr fontId="3" type="noConversion"/>
  </si>
  <si>
    <t>진행일수</t>
    <phoneticPr fontId="3" type="noConversion"/>
  </si>
  <si>
    <t>플롯차트</t>
    <phoneticPr fontId="3" type="noConversion"/>
  </si>
  <si>
    <t>플롯차트2</t>
  </si>
  <si>
    <t>이전업무종료</t>
    <phoneticPr fontId="3" type="noConversion"/>
  </si>
  <si>
    <t>이전업무단계(y)</t>
    <phoneticPr fontId="3" type="noConversion"/>
  </si>
  <si>
    <t>이전업무경과일</t>
    <phoneticPr fontId="3" type="noConversion"/>
  </si>
  <si>
    <t>동종업계 전체 목록 확인</t>
    <phoneticPr fontId="3" type="noConversion"/>
  </si>
  <si>
    <t>동종업계 전체 목록 확인</t>
  </si>
  <si>
    <t>업계 상/하위 20% 목록 작성</t>
    <phoneticPr fontId="3" type="noConversion"/>
  </si>
  <si>
    <t>업계 상/하위 20% 목록 작성</t>
  </si>
  <si>
    <t xml:space="preserve">업체별 성공/실패 원인 파악 </t>
    <phoneticPr fontId="3" type="noConversion"/>
  </si>
  <si>
    <t>성공 업체의 성장원동력 분석</t>
    <phoneticPr fontId="3" type="noConversion"/>
  </si>
  <si>
    <t>실패 후 극복사례 조사</t>
    <phoneticPr fontId="3" type="noConversion"/>
  </si>
  <si>
    <t>업체별 YoY 성장률 분석</t>
    <phoneticPr fontId="3" type="noConversion"/>
  </si>
  <si>
    <t>업체별 YoY 성장률 분석</t>
  </si>
  <si>
    <t>업계 전반적인 미래 수요 예측</t>
    <phoneticPr fontId="3" type="noConversion"/>
  </si>
  <si>
    <t>실패 후 극복사례 조사</t>
  </si>
  <si>
    <t>보고서 작성</t>
    <phoneticPr fontId="3" type="noConversion"/>
  </si>
  <si>
    <t>업계 전반적인 미래 수요 예측</t>
  </si>
  <si>
    <t>보고서 작성</t>
  </si>
  <si>
    <t xml:space="preserve">업체별 성공/실패 원인 파악 </t>
  </si>
  <si>
    <t>x축 최소값</t>
    <phoneticPr fontId="3" type="noConversion"/>
  </si>
  <si>
    <t>x축 최대값</t>
    <phoneticPr fontId="3" type="noConversion"/>
  </si>
  <si>
    <t>본부 주간회의 보고</t>
  </si>
  <si>
    <t>본부 주간회의 보고</t>
    <phoneticPr fontId="3" type="noConversion"/>
  </si>
  <si>
    <t>최종 검토 및 이사회 발표준비</t>
  </si>
  <si>
    <t>최종 검토 및 이사회 발표준비</t>
    <phoneticPr fontId="3" type="noConversion"/>
  </si>
  <si>
    <t>5월 이사회 발표</t>
    <phoneticPr fontId="3" type="noConversion"/>
  </si>
  <si>
    <t>담당자</t>
    <phoneticPr fontId="3" type="noConversion"/>
  </si>
  <si>
    <t>결과물</t>
    <phoneticPr fontId="3" type="noConversion"/>
  </si>
  <si>
    <t>이전업무(선택사항)</t>
    <phoneticPr fontId="3" type="noConversion"/>
  </si>
  <si>
    <t>박승우TL</t>
    <phoneticPr fontId="3" type="noConversion"/>
  </si>
  <si>
    <t>최서진DR</t>
    <phoneticPr fontId="3" type="noConversion"/>
  </si>
  <si>
    <t>최서진MG</t>
    <phoneticPr fontId="3" type="noConversion"/>
  </si>
  <si>
    <t>최예나MG</t>
    <phoneticPr fontId="3" type="noConversion"/>
  </si>
  <si>
    <t>동종업계 리스트</t>
    <phoneticPr fontId="3" type="noConversion"/>
  </si>
  <si>
    <t>상하위 20% 목록</t>
    <phoneticPr fontId="3" type="noConversion"/>
  </si>
  <si>
    <t>업체별 성공/실패 보고서</t>
    <phoneticPr fontId="3" type="noConversion"/>
  </si>
  <si>
    <t>실패 후 극복사례 목록</t>
    <phoneticPr fontId="3" type="noConversion"/>
  </si>
  <si>
    <t>성장 원동력 분석 보고서</t>
    <phoneticPr fontId="3" type="noConversion"/>
  </si>
  <si>
    <t>업체별 YoY 성장률 보고서</t>
    <phoneticPr fontId="3" type="noConversion"/>
  </si>
  <si>
    <t>업체 미래 수료 예측 보고서</t>
    <phoneticPr fontId="3" type="noConversion"/>
  </si>
  <si>
    <t>주간회의 보고서 초안</t>
    <phoneticPr fontId="3" type="noConversion"/>
  </si>
  <si>
    <t>이사회 발표여부 결정</t>
    <phoneticPr fontId="3" type="noConversion"/>
  </si>
  <si>
    <t>이사회 발표 보고서</t>
    <phoneticPr fontId="3" type="noConversion"/>
  </si>
  <si>
    <t>레이블</t>
    <phoneticPr fontId="3" type="noConversion"/>
  </si>
  <si>
    <t>프로젝트 진행</t>
    <phoneticPr fontId="3" type="noConversion"/>
  </si>
  <si>
    <t>시스템 안정화 및 최적화</t>
  </si>
  <si>
    <t>최종 보고서</t>
    <phoneticPr fontId="3" type="noConversion"/>
  </si>
  <si>
    <t>강태산</t>
  </si>
  <si>
    <t>전체 물류 시스템 정식 오픈</t>
  </si>
  <si>
    <t>파일럿 운영</t>
  </si>
  <si>
    <t>최적화 보고서</t>
  </si>
  <si>
    <t>이준호</t>
  </si>
  <si>
    <t>시스템 통합 테스트</t>
  </si>
  <si>
    <t>파일럿 운영 결과 보고서</t>
  </si>
  <si>
    <t>박지영</t>
  </si>
  <si>
    <t>WMS 시스템 구축</t>
  </si>
  <si>
    <t>교육 수료 인증서</t>
  </si>
  <si>
    <t>한소연</t>
  </si>
  <si>
    <t>물류 직원 교육 및 훈련</t>
  </si>
  <si>
    <t>물류 장비 도입 및 설치</t>
  </si>
  <si>
    <t>테스트 결과 보고서</t>
  </si>
  <si>
    <t>김민수</t>
  </si>
  <si>
    <t>창고 레이아웃 최적화 설계</t>
  </si>
  <si>
    <t>설치 완료 보고서</t>
  </si>
  <si>
    <t>정대현</t>
  </si>
  <si>
    <t>개선된 프로세스 매뉴얼</t>
  </si>
  <si>
    <t>최영희</t>
  </si>
  <si>
    <t>재고 관리 프로세스 개선</t>
  </si>
  <si>
    <t>물류 시스템 요구사항 분석</t>
  </si>
  <si>
    <t>WMS 시스템</t>
  </si>
  <si>
    <t>최적화 설계도</t>
  </si>
  <si>
    <t>요구사항 명세서</t>
  </si>
  <si>
    <t>김민수</t>
    <phoneticPr fontId="3" type="noConversion"/>
  </si>
  <si>
    <t>물류 시스템 요구사항 분석</t>
    <phoneticPr fontId="3" type="noConversion"/>
  </si>
  <si>
    <t>X오차이동</t>
    <phoneticPr fontId="3" type="noConversion"/>
  </si>
  <si>
    <t>Y오차이동</t>
    <phoneticPr fontId="3" type="noConversion"/>
  </si>
  <si>
    <t>이전업무위치(Y)</t>
    <phoneticPr fontId="3" type="noConversion"/>
  </si>
  <si>
    <t>이전종료일(X)</t>
    <phoneticPr fontId="3" type="noConversion"/>
  </si>
  <si>
    <t>Y축(0.5)</t>
    <phoneticPr fontId="3" type="noConversion"/>
  </si>
  <si>
    <t>Y축(0.1)</t>
    <phoneticPr fontId="3" type="noConversion"/>
  </si>
  <si>
    <t>완료 예정일</t>
    <phoneticPr fontId="3" type="noConversion"/>
  </si>
  <si>
    <t>실제 소요기간</t>
    <phoneticPr fontId="3" type="noConversion"/>
  </si>
  <si>
    <t>예상 작업기간</t>
    <phoneticPr fontId="3" type="noConversion"/>
  </si>
  <si>
    <t>시작일</t>
  </si>
  <si>
    <t>레이블텍스트</t>
    <phoneticPr fontId="3" type="noConversion"/>
  </si>
  <si>
    <t>레이블더미</t>
    <phoneticPr fontId="3" type="noConversion"/>
  </si>
  <si>
    <t>실제 진행일수</t>
    <phoneticPr fontId="3" type="noConversion"/>
  </si>
  <si>
    <t>완료일</t>
    <phoneticPr fontId="3" type="noConversion"/>
  </si>
  <si>
    <t>소요기간</t>
    <phoneticPr fontId="3" type="noConversion"/>
  </si>
  <si>
    <t>작업기간</t>
    <phoneticPr fontId="3" type="noConversion"/>
  </si>
  <si>
    <t>이전 업무</t>
    <phoneticPr fontId="3" type="noConversion"/>
  </si>
  <si>
    <t>결과물</t>
  </si>
  <si>
    <t>담당자</t>
  </si>
  <si>
    <t>진행업무</t>
  </si>
  <si>
    <t>ID</t>
    <phoneticPr fontId="3" type="noConversion"/>
  </si>
  <si>
    <t>진행흐름표시</t>
    <phoneticPr fontId="3" type="noConversion"/>
  </si>
  <si>
    <t>오늘표시</t>
    <phoneticPr fontId="3" type="noConversion"/>
  </si>
  <si>
    <t>차트 레이블</t>
    <phoneticPr fontId="3" type="noConversion"/>
  </si>
  <si>
    <t>업무 목록</t>
    <phoneticPr fontId="3" type="noConversion"/>
  </si>
  <si>
    <t>`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</si>
</sst>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m&quot;월&quot;\ dd&quot;일&quot;"/>
    <numFmt numFmtId="177" formatCode="m&quot;월&quot;\ d&quot;일&quot;"/>
    <numFmt numFmtId="178" formatCode="0;\-0;;"/>
    <numFmt numFmtId="179" formatCode="m&quot;월&quot;\ d&quot;일&quot;;;;"/>
    <numFmt numFmtId="180" formatCode=";;;@"/>
    <numFmt numFmtId="181" formatCode="mm&quot;월&quot;\ dd&quot;일&quot;\ \(aaa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프리젠테이션 3 Light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4F8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B4161"/>
        <bgColor indexed="64"/>
      </patternFill>
    </fill>
    <fill>
      <patternFill patternType="solid">
        <fgColor rgb="FF4949C3"/>
        <bgColor indexed="64"/>
      </patternFill>
    </fill>
    <fill>
      <patternFill patternType="solid">
        <fgColor rgb="FF33B398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medium">
        <color theme="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2" fillId="2" borderId="0" xfId="0" applyFont="1" applyFill="1" applyProtection="1">
      <alignment vertical="center"/>
      <protection locked="0"/>
    </xf>
    <xf numFmtId="0" fontId="4" fillId="3" borderId="0" xfId="0" applyFont="1" applyFill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176" fontId="6" fillId="3" borderId="0" xfId="0" applyNumberFormat="1" applyFont="1" applyFill="1" applyProtection="1">
      <alignment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Protection="1">
      <alignment vertical="center"/>
      <protection locked="0"/>
    </xf>
    <xf numFmtId="0" fontId="8" fillId="0" borderId="4" xfId="0" applyFont="1" applyBorder="1" applyProtection="1">
      <alignment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177" fontId="8" fillId="0" borderId="4" xfId="0" applyNumberFormat="1" applyFont="1" applyBorder="1" applyAlignment="1" applyProtection="1">
      <alignment horizontal="center" vertical="center"/>
      <protection locked="0"/>
    </xf>
    <xf numFmtId="14" fontId="8" fillId="0" borderId="4" xfId="0" applyNumberFormat="1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9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7" xfId="0" applyFont="1" applyBorder="1" applyProtection="1">
      <alignment vertical="center"/>
      <protection locked="0"/>
    </xf>
    <xf numFmtId="177" fontId="10" fillId="0" borderId="7" xfId="0" applyNumberFormat="1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9" fontId="10" fillId="0" borderId="7" xfId="1" applyFont="1" applyBorder="1" applyAlignment="1" applyProtection="1">
      <alignment horizontal="center" vertical="center"/>
      <protection locked="0"/>
    </xf>
    <xf numFmtId="178" fontId="0" fillId="0" borderId="7" xfId="0" applyNumberFormat="1" applyBorder="1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177" fontId="0" fillId="0" borderId="0" xfId="0" applyNumberFormat="1" applyProtection="1">
      <alignment vertical="center"/>
      <protection locked="0"/>
    </xf>
    <xf numFmtId="0" fontId="6" fillId="4" borderId="6" xfId="0" applyFont="1" applyFill="1" applyBorder="1" applyProtection="1">
      <alignment vertical="center"/>
      <protection locked="0"/>
    </xf>
    <xf numFmtId="0" fontId="6" fillId="4" borderId="7" xfId="0" applyFont="1" applyFill="1" applyBorder="1" applyProtection="1">
      <alignment vertical="center"/>
      <protection locked="0"/>
    </xf>
    <xf numFmtId="177" fontId="10" fillId="4" borderId="7" xfId="0" applyNumberFormat="1" applyFont="1" applyFill="1" applyBorder="1" applyAlignment="1" applyProtection="1">
      <alignment horizontal="center" vertical="center"/>
      <protection locked="0"/>
    </xf>
    <xf numFmtId="0" fontId="10" fillId="4" borderId="7" xfId="0" applyFont="1" applyFill="1" applyBorder="1" applyAlignment="1" applyProtection="1">
      <alignment horizontal="center" vertical="center"/>
      <protection locked="0"/>
    </xf>
    <xf numFmtId="9" fontId="10" fillId="4" borderId="7" xfId="1" applyFont="1" applyFill="1" applyBorder="1" applyAlignment="1" applyProtection="1">
      <alignment horizontal="center" vertical="center"/>
      <protection locked="0"/>
    </xf>
    <xf numFmtId="178" fontId="0" fillId="4" borderId="7" xfId="0" applyNumberFormat="1" applyFill="1" applyBorder="1" applyProtection="1">
      <alignment vertical="center"/>
      <protection locked="0"/>
    </xf>
    <xf numFmtId="178" fontId="0" fillId="0" borderId="7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178" fontId="0" fillId="4" borderId="7" xfId="0" applyNumberFormat="1" applyFill="1" applyBorder="1" applyAlignment="1">
      <alignment horizontal="center" vertical="center"/>
    </xf>
    <xf numFmtId="179" fontId="0" fillId="4" borderId="7" xfId="0" applyNumberFormat="1" applyFill="1" applyBorder="1" applyAlignment="1">
      <alignment horizontal="center" vertical="center"/>
    </xf>
    <xf numFmtId="9" fontId="0" fillId="0" borderId="2" xfId="1" applyFont="1" applyBorder="1" applyAlignment="1" applyProtection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14" fontId="8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177" fontId="11" fillId="4" borderId="7" xfId="0" applyNumberFormat="1" applyFont="1" applyFill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180" fontId="0" fillId="0" borderId="0" xfId="0" applyNumberFormat="1" applyAlignment="1" applyProtection="1">
      <alignment horizontal="right" vertical="center"/>
      <protection locked="0"/>
    </xf>
    <xf numFmtId="0" fontId="12" fillId="7" borderId="0" xfId="0" applyFont="1" applyFill="1">
      <alignment vertical="center"/>
    </xf>
    <xf numFmtId="0" fontId="12" fillId="7" borderId="0" xfId="0" applyFont="1" applyFill="1" applyAlignment="1">
      <alignment horizontal="center" vertical="center"/>
    </xf>
    <xf numFmtId="9" fontId="12" fillId="7" borderId="0" xfId="0" applyNumberFormat="1" applyFont="1" applyFill="1" applyAlignment="1">
      <alignment horizontal="center" vertical="center"/>
    </xf>
    <xf numFmtId="14" fontId="12" fillId="7" borderId="0" xfId="0" applyNumberFormat="1" applyFont="1" applyFill="1" applyAlignment="1">
      <alignment horizontal="center" vertical="center"/>
    </xf>
    <xf numFmtId="0" fontId="12" fillId="7" borderId="9" xfId="0" applyFont="1" applyFill="1" applyBorder="1">
      <alignment vertical="center"/>
    </xf>
    <xf numFmtId="0" fontId="12" fillId="7" borderId="9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4" fontId="12" fillId="8" borderId="0" xfId="0" applyNumberFormat="1" applyFont="1" applyFill="1" applyAlignment="1">
      <alignment horizontal="center" vertical="center"/>
    </xf>
    <xf numFmtId="14" fontId="12" fillId="8" borderId="0" xfId="0" applyNumberFormat="1" applyFont="1" applyFill="1" applyAlignment="1">
      <alignment horizontal="center" vertical="center" wrapText="1"/>
    </xf>
    <xf numFmtId="3" fontId="12" fillId="8" borderId="0" xfId="0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14" fontId="12" fillId="7" borderId="0" xfId="0" applyNumberFormat="1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3" fontId="12" fillId="8" borderId="0" xfId="0" applyNumberFormat="1" applyFont="1" applyFill="1" applyAlignment="1">
      <alignment horizontal="center" vertical="center"/>
    </xf>
    <xf numFmtId="0" fontId="12" fillId="7" borderId="10" xfId="0" applyFont="1" applyFill="1" applyBorder="1">
      <alignment vertical="center"/>
    </xf>
    <xf numFmtId="0" fontId="2" fillId="9" borderId="10" xfId="0" applyFont="1" applyFill="1" applyBorder="1" applyAlignment="1">
      <alignment horizontal="center" vertical="center" wrapText="1"/>
    </xf>
    <xf numFmtId="9" fontId="2" fillId="10" borderId="10" xfId="0" applyNumberFormat="1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14" fontId="2" fillId="10" borderId="10" xfId="0" applyNumberFormat="1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Continuous" vertical="center" wrapText="1"/>
    </xf>
    <xf numFmtId="0" fontId="14" fillId="7" borderId="0" xfId="0" applyFont="1" applyFill="1">
      <alignment vertical="center"/>
    </xf>
    <xf numFmtId="0" fontId="2" fillId="9" borderId="0" xfId="0" applyFont="1" applyFill="1" applyAlignment="1">
      <alignment horizontal="centerContinuous" vertical="center"/>
    </xf>
    <xf numFmtId="0" fontId="2" fillId="10" borderId="0" xfId="0" applyFont="1" applyFill="1" applyAlignment="1">
      <alignment horizontal="centerContinuous" vertical="center"/>
    </xf>
    <xf numFmtId="0" fontId="2" fillId="11" borderId="0" xfId="0" applyFont="1" applyFill="1" applyAlignment="1">
      <alignment horizontal="centerContinuous" vertical="center"/>
    </xf>
    <xf numFmtId="0" fontId="14" fillId="7" borderId="0" xfId="0" applyFont="1" applyFill="1" applyAlignment="1">
      <alignment horizontal="center" vertical="center"/>
    </xf>
    <xf numFmtId="9" fontId="14" fillId="7" borderId="0" xfId="0" applyNumberFormat="1" applyFont="1" applyFill="1" applyAlignment="1">
      <alignment horizontal="center" vertical="center"/>
    </xf>
    <xf numFmtId="181" fontId="14" fillId="7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14" fontId="2" fillId="6" borderId="0" xfId="0" applyNumberFormat="1" applyFont="1" applyFill="1" applyAlignment="1" applyProtection="1">
      <alignment horizontal="center" vertical="center"/>
      <protection locked="0"/>
    </xf>
    <xf numFmtId="14" fontId="2" fillId="5" borderId="0" xfId="0" applyNumberFormat="1" applyFont="1" applyFill="1" applyAlignment="1" applyProtection="1">
      <alignment horizontal="center" vertical="center"/>
      <protection locked="0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2451879042507"/>
          <c:y val="6.1449015823049541E-2"/>
          <c:w val="0.86221717737414949"/>
          <c:h val="0.9169093156771193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스타일1!$L$4:$L$17</c:f>
                <c:numCache>
                  <c:formatCode>General</c:formatCode>
                  <c:ptCount val="14"/>
                  <c:pt idx="0">
                    <c:v>28</c:v>
                  </c:pt>
                  <c:pt idx="1">
                    <c:v>15.200000000000001</c:v>
                  </c:pt>
                  <c:pt idx="2">
                    <c:v>21</c:v>
                  </c:pt>
                  <c:pt idx="3">
                    <c:v>10</c:v>
                  </c:pt>
                  <c:pt idx="4">
                    <c:v>15</c:v>
                  </c:pt>
                  <c:pt idx="5">
                    <c:v>14</c:v>
                  </c:pt>
                  <c:pt idx="6">
                    <c:v>4.5</c:v>
                  </c:pt>
                  <c:pt idx="7">
                    <c:v>3.8000000000000003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3350" cap="flat" cmpd="sng" algn="ctr">
                <a:solidFill>
                  <a:srgbClr val="6600FF"/>
                </a:solidFill>
                <a:round/>
              </a:ln>
              <a:effectLst/>
            </c:spPr>
          </c:errBars>
          <c:cat>
            <c:strRef>
              <c:f>스타일1!$C$4:$C$17</c:f>
              <c:strCache>
                <c:ptCount val="10"/>
                <c:pt idx="0">
                  <c:v>물류 시스템 요구사항 분석</c:v>
                </c:pt>
                <c:pt idx="1">
                  <c:v>창고 레이아웃 최적화 설계</c:v>
                </c:pt>
                <c:pt idx="2">
                  <c:v>WMS 시스템 구축</c:v>
                </c:pt>
                <c:pt idx="3">
                  <c:v>재고 관리 프로세스 개선</c:v>
                </c:pt>
                <c:pt idx="4">
                  <c:v>물류 장비 도입 및 설치</c:v>
                </c:pt>
                <c:pt idx="5">
                  <c:v>시스템 통합 테스트</c:v>
                </c:pt>
                <c:pt idx="6">
                  <c:v>물류 직원 교육 및 훈련</c:v>
                </c:pt>
                <c:pt idx="7">
                  <c:v>파일럿 운영</c:v>
                </c:pt>
                <c:pt idx="8">
                  <c:v>시스템 안정화 및 최적화</c:v>
                </c:pt>
                <c:pt idx="9">
                  <c:v>전체 물류 시스템 정식 오픈</c:v>
                </c:pt>
              </c:strCache>
            </c:strRef>
          </c:cat>
          <c:val>
            <c:numRef>
              <c:f>스타일1!$G$4:$G$17</c:f>
              <c:numCache>
                <c:formatCode>m/d/yyyy</c:formatCode>
                <c:ptCount val="14"/>
                <c:pt idx="0">
                  <c:v>45694</c:v>
                </c:pt>
                <c:pt idx="1">
                  <c:v>45725</c:v>
                </c:pt>
                <c:pt idx="2">
                  <c:v>45726</c:v>
                </c:pt>
                <c:pt idx="3">
                  <c:v>45773</c:v>
                </c:pt>
                <c:pt idx="4">
                  <c:v>45773</c:v>
                </c:pt>
                <c:pt idx="5">
                  <c:v>45806</c:v>
                </c:pt>
                <c:pt idx="6">
                  <c:v>45823</c:v>
                </c:pt>
                <c:pt idx="7">
                  <c:v>45836</c:v>
                </c:pt>
                <c:pt idx="8">
                  <c:v>45859</c:v>
                </c:pt>
                <c:pt idx="9">
                  <c:v>45871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3-4B70-A6F4-1B2621D6DA53}"/>
            </c:ext>
          </c:extLst>
        </c:ser>
        <c:ser>
          <c:idx val="1"/>
          <c:order val="1"/>
          <c:spPr>
            <a:solidFill>
              <a:srgbClr val="E4E2F6"/>
            </a:solidFill>
            <a:ln>
              <a:noFill/>
            </a:ln>
            <a:effectLst/>
          </c:spPr>
          <c:invertIfNegative val="0"/>
          <c:cat>
            <c:strRef>
              <c:f>스타일1!$C$4:$C$17</c:f>
              <c:strCache>
                <c:ptCount val="10"/>
                <c:pt idx="0">
                  <c:v>물류 시스템 요구사항 분석</c:v>
                </c:pt>
                <c:pt idx="1">
                  <c:v>창고 레이아웃 최적화 설계</c:v>
                </c:pt>
                <c:pt idx="2">
                  <c:v>WMS 시스템 구축</c:v>
                </c:pt>
                <c:pt idx="3">
                  <c:v>재고 관리 프로세스 개선</c:v>
                </c:pt>
                <c:pt idx="4">
                  <c:v>물류 장비 도입 및 설치</c:v>
                </c:pt>
                <c:pt idx="5">
                  <c:v>시스템 통합 테스트</c:v>
                </c:pt>
                <c:pt idx="6">
                  <c:v>물류 직원 교육 및 훈련</c:v>
                </c:pt>
                <c:pt idx="7">
                  <c:v>파일럿 운영</c:v>
                </c:pt>
                <c:pt idx="8">
                  <c:v>시스템 안정화 및 최적화</c:v>
                </c:pt>
                <c:pt idx="9">
                  <c:v>전체 물류 시스템 정식 오픈</c:v>
                </c:pt>
              </c:strCache>
            </c:strRef>
          </c:cat>
          <c:val>
            <c:numRef>
              <c:f>스타일1!$I$4:$I$17</c:f>
              <c:numCache>
                <c:formatCode>#,##0</c:formatCode>
                <c:ptCount val="14"/>
                <c:pt idx="0">
                  <c:v>28</c:v>
                </c:pt>
                <c:pt idx="1">
                  <c:v>19</c:v>
                </c:pt>
                <c:pt idx="2">
                  <c:v>42</c:v>
                </c:pt>
                <c:pt idx="3">
                  <c:v>20</c:v>
                </c:pt>
                <c:pt idx="4">
                  <c:v>30</c:v>
                </c:pt>
                <c:pt idx="5">
                  <c:v>14</c:v>
                </c:pt>
                <c:pt idx="6">
                  <c:v>9</c:v>
                </c:pt>
                <c:pt idx="7">
                  <c:v>19</c:v>
                </c:pt>
                <c:pt idx="8">
                  <c:v>9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3-4B70-A6F4-1B2621D6DA53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7AAD6E6-2218-4031-98E4-627267D59A44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F3-4B70-A6F4-1B2621D6DA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0B9114-8803-472E-A350-5D5D35DB90C6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F3-4B70-A6F4-1B2621D6DA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F2C7DD-D543-472C-BC1B-05AEE8EC1C5D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2F3-4B70-A6F4-1B2621D6DA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2CC62A-DA15-4E29-95C3-6439FACA3964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2F3-4B70-A6F4-1B2621D6DA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22A367-6745-425D-8336-70ED6DDB030E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2F3-4B70-A6F4-1B2621D6DA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56EE7F4-F460-42F4-9EBC-F5BC689601F5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2F3-4B70-A6F4-1B2621D6DA5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AA4A8B4-2B24-4351-BF37-CA23218EEB7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2F3-4B70-A6F4-1B2621D6DA5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8328E39-35B7-4133-81CC-5BFF8266F925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2F3-4B70-A6F4-1B2621D6DA5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B44DC7A-0B2F-41A9-8DCA-F763B405636D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2F3-4B70-A6F4-1B2621D6DA5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96BEC51-0B03-4BA9-83A0-F8D2B254E3C2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2F3-4B70-A6F4-1B2621D6DA5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921E5C8-D78E-49EB-A202-E3A40B7485DC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2F3-4B70-A6F4-1B2621D6DA5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129202B-D8D4-42C3-8AEF-7CD5BDBEB514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2F3-4B70-A6F4-1B2621D6DA5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20D7EBD-0EED-407D-886B-C7EFD43351D7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2F3-4B70-A6F4-1B2621D6DA5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43BEA75-4FA1-4CD4-A63E-A99E30F055DE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2F3-4B70-A6F4-1B2621D6D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스타일1!$C$4:$C$17</c:f>
              <c:strCache>
                <c:ptCount val="10"/>
                <c:pt idx="0">
                  <c:v>물류 시스템 요구사항 분석</c:v>
                </c:pt>
                <c:pt idx="1">
                  <c:v>창고 레이아웃 최적화 설계</c:v>
                </c:pt>
                <c:pt idx="2">
                  <c:v>WMS 시스템 구축</c:v>
                </c:pt>
                <c:pt idx="3">
                  <c:v>재고 관리 프로세스 개선</c:v>
                </c:pt>
                <c:pt idx="4">
                  <c:v>물류 장비 도입 및 설치</c:v>
                </c:pt>
                <c:pt idx="5">
                  <c:v>시스템 통합 테스트</c:v>
                </c:pt>
                <c:pt idx="6">
                  <c:v>물류 직원 교육 및 훈련</c:v>
                </c:pt>
                <c:pt idx="7">
                  <c:v>파일럿 운영</c:v>
                </c:pt>
                <c:pt idx="8">
                  <c:v>시스템 안정화 및 최적화</c:v>
                </c:pt>
                <c:pt idx="9">
                  <c:v>전체 물류 시스템 정식 오픈</c:v>
                </c:pt>
              </c:strCache>
            </c:strRef>
          </c:cat>
          <c:val>
            <c:numRef>
              <c:f>스타일1!$M$4:$M$17</c:f>
              <c:numCache>
                <c:formatCode>#,##0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스타일1!$O$4:$O$17</c15:f>
                <c15:dlblRangeCache>
                  <c:ptCount val="14"/>
                  <c:pt idx="0">
                    <c:v>요구사항 명세서 [김민수]</c:v>
                  </c:pt>
                  <c:pt idx="1">
                    <c:v>최적화 설계도 [박지영]</c:v>
                  </c:pt>
                  <c:pt idx="2">
                    <c:v>WMS 시스템 [이준호]</c:v>
                  </c:pt>
                  <c:pt idx="3">
                    <c:v>개선된 프로세스 매뉴얼 [최영희]</c:v>
                  </c:pt>
                  <c:pt idx="4">
                    <c:v>설치 완료 보고서 [정대현]</c:v>
                  </c:pt>
                  <c:pt idx="5">
                    <c:v>테스트 결과 보고서 [김민수]</c:v>
                  </c:pt>
                  <c:pt idx="6">
                    <c:v>교육 수료 인증서 [한소연]</c:v>
                  </c:pt>
                  <c:pt idx="7">
                    <c:v>파일럿 운영 결과 보고서 [박지영]</c:v>
                  </c:pt>
                  <c:pt idx="8">
                    <c:v>최적화 보고서 [이준호]</c:v>
                  </c:pt>
                  <c:pt idx="9">
                    <c:v>최종 보고서 [강태산]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C2F3-4B70-A6F4-1B2621D6D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586660688"/>
        <c:axId val="1586673168"/>
      </c:barChart>
      <c:scatterChart>
        <c:scatterStyle val="lineMarker"/>
        <c:varyColors val="0"/>
        <c:ser>
          <c:idx val="3"/>
          <c:order val="3"/>
          <c:tx>
            <c:v>계획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plus"/>
            <c:errValType val="cust"/>
            <c:noEndCap val="1"/>
            <c:plus>
              <c:numRef>
                <c:f>스타일1!$S$4:$S$17</c:f>
                <c:numCache>
                  <c:formatCode>General</c:formatCode>
                  <c:ptCount val="14"/>
                  <c:pt idx="0">
                    <c:v>28</c:v>
                  </c:pt>
                  <c:pt idx="1">
                    <c:v>12</c:v>
                  </c:pt>
                  <c:pt idx="2">
                    <c:v>28</c:v>
                  </c:pt>
                  <c:pt idx="3">
                    <c:v>13</c:v>
                  </c:pt>
                  <c:pt idx="4">
                    <c:v>20</c:v>
                  </c:pt>
                  <c:pt idx="5">
                    <c:v>28</c:v>
                  </c:pt>
                  <c:pt idx="6">
                    <c:v>14</c:v>
                  </c:pt>
                  <c:pt idx="7">
                    <c:v>21</c:v>
                  </c:pt>
                  <c:pt idx="8">
                    <c:v>11</c:v>
                  </c:pt>
                  <c:pt idx="9">
                    <c:v>11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47625" cap="flat" cmpd="sng" algn="ctr">
                <a:solidFill>
                  <a:srgbClr val="52CE9E"/>
                </a:solidFill>
                <a:round/>
              </a:ln>
              <a:effectLst/>
            </c:spPr>
          </c:errBars>
          <c:xVal>
            <c:numRef>
              <c:f>스타일1!$Q$4:$Q$17</c:f>
              <c:numCache>
                <c:formatCode>m/d/yyyy</c:formatCode>
                <c:ptCount val="14"/>
                <c:pt idx="0">
                  <c:v>45694</c:v>
                </c:pt>
                <c:pt idx="1">
                  <c:v>45725</c:v>
                </c:pt>
                <c:pt idx="2">
                  <c:v>45726</c:v>
                </c:pt>
                <c:pt idx="3">
                  <c:v>45759</c:v>
                </c:pt>
                <c:pt idx="4">
                  <c:v>45759</c:v>
                </c:pt>
                <c:pt idx="5">
                  <c:v>45782</c:v>
                </c:pt>
                <c:pt idx="6">
                  <c:v>45813</c:v>
                </c:pt>
                <c:pt idx="7">
                  <c:v>45831</c:v>
                </c:pt>
                <c:pt idx="8">
                  <c:v>45856</c:v>
                </c:pt>
                <c:pt idx="9">
                  <c:v>45870</c:v>
                </c:pt>
              </c:numCache>
            </c:numRef>
          </c:xVal>
          <c:yVal>
            <c:numRef>
              <c:f>스타일1!$U$4:$U$17</c:f>
              <c:numCache>
                <c:formatCode>General</c:formatCode>
                <c:ptCount val="14"/>
                <c:pt idx="0">
                  <c:v>13.1</c:v>
                </c:pt>
                <c:pt idx="1">
                  <c:v>12.1</c:v>
                </c:pt>
                <c:pt idx="2">
                  <c:v>11.1</c:v>
                </c:pt>
                <c:pt idx="3">
                  <c:v>10.1</c:v>
                </c:pt>
                <c:pt idx="4">
                  <c:v>9.1</c:v>
                </c:pt>
                <c:pt idx="5">
                  <c:v>8.1</c:v>
                </c:pt>
                <c:pt idx="6">
                  <c:v>7.1</c:v>
                </c:pt>
                <c:pt idx="7">
                  <c:v>6.1</c:v>
                </c:pt>
                <c:pt idx="8">
                  <c:v>5.0999999999999996</c:v>
                </c:pt>
                <c:pt idx="9">
                  <c:v>4.0999999999999996</c:v>
                </c:pt>
                <c:pt idx="10">
                  <c:v>3.1</c:v>
                </c:pt>
                <c:pt idx="11">
                  <c:v>2.1</c:v>
                </c:pt>
                <c:pt idx="12">
                  <c:v>1.1000000000000001</c:v>
                </c:pt>
                <c:pt idx="13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2F3-4B70-A6F4-1B2621D6DA53}"/>
            </c:ext>
          </c:extLst>
        </c:ser>
        <c:ser>
          <c:idx val="4"/>
          <c:order val="4"/>
          <c:tx>
            <c:v>오늘날짜</c:v>
          </c:tx>
          <c:spPr>
            <a:ln w="25400" cap="rnd">
              <a:solidFill>
                <a:srgbClr val="FF505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F5CCC86-368B-404F-945E-51A2D894DE40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2F3-4B70-A6F4-1B2621D6DA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2F3-4B70-A6F4-1B2621D6DA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2F3-4B70-A6F4-1B2621D6DA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2F3-4B70-A6F4-1B2621D6DA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2F3-4B70-A6F4-1B2621D6DA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2F3-4B70-A6F4-1B2621D6DA5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2F3-4B70-A6F4-1B2621D6DA5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2F3-4B70-A6F4-1B2621D6DA5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2F3-4B70-A6F4-1B2621D6DA5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2F3-4B70-A6F4-1B2621D6DA5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2F3-4B70-A6F4-1B2621D6DA5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2F3-4B70-A6F4-1B2621D6DA5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2F3-4B70-A6F4-1B2621D6DA5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2F3-4B70-A6F4-1B2621D6D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EE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스타일1!$X$4:$X$17</c:f>
              <c:numCache>
                <c:formatCode>m/d/yyyy</c:formatCode>
                <c:ptCount val="14"/>
                <c:pt idx="0">
                  <c:v>45729</c:v>
                </c:pt>
                <c:pt idx="1">
                  <c:v>45729</c:v>
                </c:pt>
                <c:pt idx="2">
                  <c:v>45729</c:v>
                </c:pt>
                <c:pt idx="3">
                  <c:v>45729</c:v>
                </c:pt>
                <c:pt idx="4">
                  <c:v>45729</c:v>
                </c:pt>
                <c:pt idx="5">
                  <c:v>45729</c:v>
                </c:pt>
                <c:pt idx="6">
                  <c:v>45729</c:v>
                </c:pt>
                <c:pt idx="7">
                  <c:v>45729</c:v>
                </c:pt>
                <c:pt idx="8">
                  <c:v>45729</c:v>
                </c:pt>
                <c:pt idx="9">
                  <c:v>45729</c:v>
                </c:pt>
                <c:pt idx="10">
                  <c:v>45729</c:v>
                </c:pt>
                <c:pt idx="11">
                  <c:v>45729</c:v>
                </c:pt>
                <c:pt idx="12">
                  <c:v>45729</c:v>
                </c:pt>
                <c:pt idx="13">
                  <c:v>45729</c:v>
                </c:pt>
              </c:numCache>
            </c:numRef>
          </c:xVal>
          <c:yVal>
            <c:numRef>
              <c:f>스타일1!$W$4:$W$17</c:f>
              <c:numCache>
                <c:formatCode>General</c:formatCode>
                <c:ptCount val="14"/>
                <c:pt idx="0">
                  <c:v>13.5</c:v>
                </c:pt>
                <c:pt idx="1">
                  <c:v>12.5</c:v>
                </c:pt>
                <c:pt idx="2">
                  <c:v>11.5</c:v>
                </c:pt>
                <c:pt idx="3">
                  <c:v>10.5</c:v>
                </c:pt>
                <c:pt idx="4">
                  <c:v>9.5</c:v>
                </c:pt>
                <c:pt idx="5">
                  <c:v>8.5</c:v>
                </c:pt>
                <c:pt idx="6">
                  <c:v>7.5</c:v>
                </c:pt>
                <c:pt idx="7">
                  <c:v>6.5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스타일1!$G$1</c15:f>
                <c15:dlblRangeCache>
                  <c:ptCount val="1"/>
                  <c:pt idx="0">
                    <c:v>03월 13일 (목)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C2F3-4B70-A6F4-1B2621D6DA53}"/>
            </c:ext>
          </c:extLst>
        </c:ser>
        <c:ser>
          <c:idx val="5"/>
          <c:order val="5"/>
          <c:tx>
            <c:v>업무흐름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스타일1!$AD$4:$AD$17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3</c:v>
                  </c:pt>
                  <c:pt idx="2">
                    <c:v>4</c:v>
                  </c:pt>
                  <c:pt idx="3">
                    <c:v>29</c:v>
                  </c:pt>
                  <c:pt idx="4">
                    <c:v>29</c:v>
                  </c:pt>
                  <c:pt idx="5">
                    <c:v>3</c:v>
                  </c:pt>
                  <c:pt idx="6">
                    <c:v>55</c:v>
                  </c:pt>
                  <c:pt idx="7">
                    <c:v>16</c:v>
                  </c:pt>
                  <c:pt idx="8">
                    <c:v>4</c:v>
                  </c:pt>
                  <c:pt idx="9">
                    <c:v>3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  <a:tailEnd type="triangle" w="lg" len="lg"/>
              </a:ln>
              <a:effectLst/>
            </c:spPr>
          </c:errBars>
          <c:errBars>
            <c:errDir val="y"/>
            <c:errBarType val="plus"/>
            <c:errValType val="cust"/>
            <c:noEndCap val="1"/>
            <c:plus>
              <c:numRef>
                <c:f>스타일1!$AC$4:$AC$17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2</c:v>
                  </c:pt>
                  <c:pt idx="4">
                    <c:v>3</c:v>
                  </c:pt>
                  <c:pt idx="5">
                    <c:v>1</c:v>
                  </c:pt>
                  <c:pt idx="6">
                    <c:v>4</c:v>
                  </c:pt>
                  <c:pt idx="7">
                    <c:v>2</c:v>
                  </c:pt>
                  <c:pt idx="8">
                    <c:v>1</c:v>
                  </c:pt>
                  <c:pt idx="9">
                    <c:v>1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스타일1!$AA$4:$AA$17</c:f>
              <c:numCache>
                <c:formatCode>m/d/yyyy</c:formatCode>
                <c:ptCount val="14"/>
                <c:pt idx="0">
                  <c:v>45722</c:v>
                </c:pt>
                <c:pt idx="1">
                  <c:v>45722</c:v>
                </c:pt>
                <c:pt idx="2">
                  <c:v>45722</c:v>
                </c:pt>
                <c:pt idx="3">
                  <c:v>45744</c:v>
                </c:pt>
                <c:pt idx="4">
                  <c:v>45744</c:v>
                </c:pt>
                <c:pt idx="5">
                  <c:v>45803</c:v>
                </c:pt>
                <c:pt idx="6">
                  <c:v>45768</c:v>
                </c:pt>
                <c:pt idx="7">
                  <c:v>45820</c:v>
                </c:pt>
                <c:pt idx="8">
                  <c:v>45855</c:v>
                </c:pt>
                <c:pt idx="9">
                  <c:v>45868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xVal>
          <c:yVal>
            <c:numRef>
              <c:f>스타일1!$Z$4:$Z$17</c:f>
              <c:numCache>
                <c:formatCode>General</c:formatCode>
                <c:ptCount val="14"/>
                <c:pt idx="0">
                  <c:v>13.5</c:v>
                </c:pt>
                <c:pt idx="1">
                  <c:v>12.5</c:v>
                </c:pt>
                <c:pt idx="2">
                  <c:v>11.5</c:v>
                </c:pt>
                <c:pt idx="3">
                  <c:v>10.5</c:v>
                </c:pt>
                <c:pt idx="4">
                  <c:v>9.5</c:v>
                </c:pt>
                <c:pt idx="5">
                  <c:v>8.5</c:v>
                </c:pt>
                <c:pt idx="6">
                  <c:v>7.5</c:v>
                </c:pt>
                <c:pt idx="7">
                  <c:v>6.5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2F3-4B70-A6F4-1B2621D6D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65695"/>
        <c:axId val="1452761375"/>
      </c:scatterChart>
      <c:catAx>
        <c:axId val="1586660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73168"/>
        <c:crosses val="autoZero"/>
        <c:auto val="1"/>
        <c:lblAlgn val="ctr"/>
        <c:lblOffset val="100"/>
        <c:noMultiLvlLbl val="0"/>
      </c:catAx>
      <c:valAx>
        <c:axId val="1586673168"/>
        <c:scaling>
          <c:orientation val="minMax"/>
          <c:max val="45889"/>
          <c:min val="4569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&quot;월&quot;\ dd&quot;일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60688"/>
        <c:crosses val="autoZero"/>
        <c:crossBetween val="between"/>
      </c:valAx>
      <c:valAx>
        <c:axId val="1452761375"/>
        <c:scaling>
          <c:orientation val="minMax"/>
          <c:max val="14"/>
        </c:scaling>
        <c:delete val="1"/>
        <c:axPos val="r"/>
        <c:numFmt formatCode="General" sourceLinked="1"/>
        <c:majorTickMark val="out"/>
        <c:minorTickMark val="none"/>
        <c:tickLblPos val="nextTo"/>
        <c:crossAx val="1452765695"/>
        <c:crosses val="max"/>
        <c:crossBetween val="midCat"/>
      </c:valAx>
      <c:valAx>
        <c:axId val="14527656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52761375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2902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856407942651"/>
          <c:y val="8.5166449074341247E-2"/>
          <c:w val="0.84625083644156796"/>
          <c:h val="0.914833550925658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스타일2!$J$5</c:f>
              <c:strCache>
                <c:ptCount val="1"/>
                <c:pt idx="0">
                  <c:v>시작일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스타일2!$O$6:$O$31</c:f>
                <c:numCache>
                  <c:formatCode>General</c:formatCode>
                  <c:ptCount val="26"/>
                  <c:pt idx="0">
                    <c:v>1</c:v>
                  </c:pt>
                  <c:pt idx="1">
                    <c:v>4</c:v>
                  </c:pt>
                  <c:pt idx="2">
                    <c:v>7</c:v>
                  </c:pt>
                  <c:pt idx="3">
                    <c:v>6.4</c:v>
                  </c:pt>
                  <c:pt idx="4">
                    <c:v>6.4</c:v>
                  </c:pt>
                  <c:pt idx="5">
                    <c:v>3</c:v>
                  </c:pt>
                  <c:pt idx="6">
                    <c:v>3</c:v>
                  </c:pt>
                  <c:pt idx="7">
                    <c:v>1.7999999999999998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plus>
            <c:minus>
              <c:numRef>
                <c:f>스타일2!$O$6:$O$31</c:f>
                <c:numCache>
                  <c:formatCode>General</c:formatCode>
                  <c:ptCount val="26"/>
                  <c:pt idx="0">
                    <c:v>1</c:v>
                  </c:pt>
                  <c:pt idx="1">
                    <c:v>4</c:v>
                  </c:pt>
                  <c:pt idx="2">
                    <c:v>7</c:v>
                  </c:pt>
                  <c:pt idx="3">
                    <c:v>6.4</c:v>
                  </c:pt>
                  <c:pt idx="4">
                    <c:v>6.4</c:v>
                  </c:pt>
                  <c:pt idx="5">
                    <c:v>3</c:v>
                  </c:pt>
                  <c:pt idx="6">
                    <c:v>3</c:v>
                  </c:pt>
                  <c:pt idx="7">
                    <c:v>1.7999999999999998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minus>
            <c:spPr>
              <a:noFill/>
              <a:ln w="139700" cap="flat" cmpd="sng" algn="ctr">
                <a:solidFill>
                  <a:srgbClr val="FF9900"/>
                </a:solidFill>
                <a:round/>
              </a:ln>
              <a:effectLst/>
            </c:spPr>
          </c:errBars>
          <c:cat>
            <c:strRef>
              <c:f>스타일2!$A$6:$A$31</c:f>
              <c:strCache>
                <c:ptCount val="11"/>
                <c:pt idx="0">
                  <c:v>동종업계 전체 목록 확인</c:v>
                </c:pt>
                <c:pt idx="1">
                  <c:v>업계 상/하위 20% 목록 작성</c:v>
                </c:pt>
                <c:pt idx="2">
                  <c:v>업체별 성공/실패 원인 파악 </c:v>
                </c:pt>
                <c:pt idx="3">
                  <c:v>성공 업체의 성장원동력 분석</c:v>
                </c:pt>
                <c:pt idx="4">
                  <c:v>실패 후 극복사례 조사</c:v>
                </c:pt>
                <c:pt idx="5">
                  <c:v>업체별 YoY 성장률 분석</c:v>
                </c:pt>
                <c:pt idx="6">
                  <c:v>업계 전반적인 미래 수요 예측</c:v>
                </c:pt>
                <c:pt idx="7">
                  <c:v>보고서 작성</c:v>
                </c:pt>
                <c:pt idx="8">
                  <c:v>본부 주간회의 보고</c:v>
                </c:pt>
                <c:pt idx="9">
                  <c:v>최종 검토 및 이사회 발표준비</c:v>
                </c:pt>
                <c:pt idx="10">
                  <c:v>5월 이사회 발표</c:v>
                </c:pt>
              </c:strCache>
            </c:strRef>
          </c:cat>
          <c:val>
            <c:numRef>
              <c:f>스타일2!$J$6:$J$31</c:f>
              <c:numCache>
                <c:formatCode>m"월"\ d"일"</c:formatCode>
                <c:ptCount val="26"/>
                <c:pt idx="0">
                  <c:v>43922</c:v>
                </c:pt>
                <c:pt idx="1">
                  <c:v>43924</c:v>
                </c:pt>
                <c:pt idx="2">
                  <c:v>43929</c:v>
                </c:pt>
                <c:pt idx="3">
                  <c:v>43937</c:v>
                </c:pt>
                <c:pt idx="4">
                  <c:v>43937</c:v>
                </c:pt>
                <c:pt idx="5">
                  <c:v>43942</c:v>
                </c:pt>
                <c:pt idx="6">
                  <c:v>43948</c:v>
                </c:pt>
                <c:pt idx="7">
                  <c:v>43951</c:v>
                </c:pt>
                <c:pt idx="8">
                  <c:v>43957</c:v>
                </c:pt>
                <c:pt idx="9">
                  <c:v>43959</c:v>
                </c:pt>
                <c:pt idx="10">
                  <c:v>43974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D-4975-AC56-44172DBF2236}"/>
            </c:ext>
          </c:extLst>
        </c:ser>
        <c:ser>
          <c:idx val="1"/>
          <c:order val="1"/>
          <c:tx>
            <c:strRef>
              <c:f>스타일2!$L$5</c:f>
              <c:strCache>
                <c:ptCount val="1"/>
                <c:pt idx="0">
                  <c:v>경과일수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스타일2!$A$6:$A$31</c:f>
              <c:strCache>
                <c:ptCount val="11"/>
                <c:pt idx="0">
                  <c:v>동종업계 전체 목록 확인</c:v>
                </c:pt>
                <c:pt idx="1">
                  <c:v>업계 상/하위 20% 목록 작성</c:v>
                </c:pt>
                <c:pt idx="2">
                  <c:v>업체별 성공/실패 원인 파악 </c:v>
                </c:pt>
                <c:pt idx="3">
                  <c:v>성공 업체의 성장원동력 분석</c:v>
                </c:pt>
                <c:pt idx="4">
                  <c:v>실패 후 극복사례 조사</c:v>
                </c:pt>
                <c:pt idx="5">
                  <c:v>업체별 YoY 성장률 분석</c:v>
                </c:pt>
                <c:pt idx="6">
                  <c:v>업계 전반적인 미래 수요 예측</c:v>
                </c:pt>
                <c:pt idx="7">
                  <c:v>보고서 작성</c:v>
                </c:pt>
                <c:pt idx="8">
                  <c:v>본부 주간회의 보고</c:v>
                </c:pt>
                <c:pt idx="9">
                  <c:v>최종 검토 및 이사회 발표준비</c:v>
                </c:pt>
                <c:pt idx="10">
                  <c:v>5월 이사회 발표</c:v>
                </c:pt>
              </c:strCache>
            </c:strRef>
          </c:cat>
          <c:val>
            <c:numRef>
              <c:f>스타일2!$L$6:$L$31</c:f>
              <c:numCache>
                <c:formatCode>0;\-0;;</c:formatCode>
                <c:ptCount val="26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3</c:v>
                </c:pt>
                <c:pt idx="7">
                  <c:v>6</c:v>
                </c:pt>
                <c:pt idx="8">
                  <c:v>1</c:v>
                </c:pt>
                <c:pt idx="9">
                  <c:v>14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D-4975-AC56-44172DBF2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937401823"/>
        <c:axId val="2035918559"/>
      </c:barChart>
      <c:scatterChart>
        <c:scatterStyle val="lineMarker"/>
        <c:varyColors val="0"/>
        <c:ser>
          <c:idx val="2"/>
          <c:order val="2"/>
          <c:tx>
            <c:v>계획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스타일2!$G$6:$G$31</c:f>
                <c:numCache>
                  <c:formatCode>General</c:formatCode>
                  <c:ptCount val="26"/>
                  <c:pt idx="0">
                    <c:v>2</c:v>
                  </c:pt>
                  <c:pt idx="1">
                    <c:v>4</c:v>
                  </c:pt>
                  <c:pt idx="2">
                    <c:v>8</c:v>
                  </c:pt>
                  <c:pt idx="3">
                    <c:v>12</c:v>
                  </c:pt>
                  <c:pt idx="4">
                    <c:v>12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1</c:v>
                  </c:pt>
                  <c:pt idx="9">
                    <c:v>9</c:v>
                  </c:pt>
                  <c:pt idx="10">
                    <c:v>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plus>
            <c:minus>
              <c:numRef>
                <c:f>스타일2!$G$6:$G$31</c:f>
                <c:numCache>
                  <c:formatCode>General</c:formatCode>
                  <c:ptCount val="26"/>
                  <c:pt idx="0">
                    <c:v>2</c:v>
                  </c:pt>
                  <c:pt idx="1">
                    <c:v>4</c:v>
                  </c:pt>
                  <c:pt idx="2">
                    <c:v>8</c:v>
                  </c:pt>
                  <c:pt idx="3">
                    <c:v>12</c:v>
                  </c:pt>
                  <c:pt idx="4">
                    <c:v>12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1</c:v>
                  </c:pt>
                  <c:pt idx="9">
                    <c:v>9</c:v>
                  </c:pt>
                  <c:pt idx="10">
                    <c:v>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minus>
            <c:spPr>
              <a:noFill/>
              <a:ln w="50800" cap="flat" cmpd="sng" algn="ctr">
                <a:solidFill>
                  <a:schemeClr val="bg1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스타일2!$E$6:$E$31</c:f>
              <c:numCache>
                <c:formatCode>m"월"\ d"일"</c:formatCode>
                <c:ptCount val="26"/>
                <c:pt idx="0">
                  <c:v>43922</c:v>
                </c:pt>
                <c:pt idx="1">
                  <c:v>43924</c:v>
                </c:pt>
                <c:pt idx="2">
                  <c:v>43928</c:v>
                </c:pt>
                <c:pt idx="3">
                  <c:v>43936</c:v>
                </c:pt>
                <c:pt idx="4">
                  <c:v>43936</c:v>
                </c:pt>
                <c:pt idx="5">
                  <c:v>43948</c:v>
                </c:pt>
                <c:pt idx="6">
                  <c:v>43952</c:v>
                </c:pt>
                <c:pt idx="7">
                  <c:v>43957</c:v>
                </c:pt>
                <c:pt idx="8">
                  <c:v>43963</c:v>
                </c:pt>
                <c:pt idx="9">
                  <c:v>43964</c:v>
                </c:pt>
                <c:pt idx="10">
                  <c:v>43974</c:v>
                </c:pt>
              </c:numCache>
            </c:numRef>
          </c:xVal>
          <c:yVal>
            <c:numRef>
              <c:f>스타일2!$Q$6:$Q$31</c:f>
              <c:numCache>
                <c:formatCode>General</c:formatCode>
                <c:ptCount val="26"/>
                <c:pt idx="0">
                  <c:v>19.100000000000001</c:v>
                </c:pt>
                <c:pt idx="1">
                  <c:v>18.100000000000001</c:v>
                </c:pt>
                <c:pt idx="2">
                  <c:v>17.100000000000001</c:v>
                </c:pt>
                <c:pt idx="3">
                  <c:v>16.100000000000001</c:v>
                </c:pt>
                <c:pt idx="4">
                  <c:v>15.100000000000001</c:v>
                </c:pt>
                <c:pt idx="5">
                  <c:v>14.100000000000001</c:v>
                </c:pt>
                <c:pt idx="6">
                  <c:v>13.100000000000001</c:v>
                </c:pt>
                <c:pt idx="7">
                  <c:v>12.100000000000001</c:v>
                </c:pt>
                <c:pt idx="8">
                  <c:v>11.100000000000001</c:v>
                </c:pt>
                <c:pt idx="9">
                  <c:v>10.100000000000001</c:v>
                </c:pt>
                <c:pt idx="10">
                  <c:v>9.1000000000000014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ED-4975-AC56-44172DBF2236}"/>
            </c:ext>
          </c:extLst>
        </c:ser>
        <c:ser>
          <c:idx val="3"/>
          <c:order val="3"/>
          <c:tx>
            <c:v>오늘</c:v>
          </c:tx>
          <c:spPr>
            <a:ln w="25400" cap="rnd">
              <a:solidFill>
                <a:srgbClr val="C00000"/>
              </a:solidFill>
              <a:prstDash val="sysDash"/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8267E9F-5BEC-4D30-A6D3-9D1678D5E418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2ED-4975-AC56-44172DBF22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2ED-4975-AC56-44172DBF22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2ED-4975-AC56-44172DBF22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2ED-4975-AC56-44172DBF22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2ED-4975-AC56-44172DBF223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2ED-4975-AC56-44172DBF22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2ED-4975-AC56-44172DBF22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2ED-4975-AC56-44172DBF223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2ED-4975-AC56-44172DBF223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2ED-4975-AC56-44172DBF22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2ED-4975-AC56-44172DBF223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2ED-4975-AC56-44172DBF223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2ED-4975-AC56-44172DBF22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2ED-4975-AC56-44172DBF22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2ED-4975-AC56-44172DBF223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2ED-4975-AC56-44172DBF223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2ED-4975-AC56-44172DBF223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2ED-4975-AC56-44172DBF223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2ED-4975-AC56-44172DBF223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2ED-4975-AC56-44172DBF223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981-4323-B7BC-C69D89EF80A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81-4323-B7BC-C69D89EF80A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81-4323-B7BC-C69D89EF80A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981-4323-B7BC-C69D89EF80A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981-4323-B7BC-C69D89EF80A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981-4323-B7BC-C69D89EF80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스타일2!$R$6:$R$31</c:f>
              <c:numCache>
                <c:formatCode>mm"월"\ dd"일"</c:formatCode>
                <c:ptCount val="26"/>
                <c:pt idx="0">
                  <c:v>43946</c:v>
                </c:pt>
                <c:pt idx="1">
                  <c:v>43946</c:v>
                </c:pt>
                <c:pt idx="2">
                  <c:v>43946</c:v>
                </c:pt>
                <c:pt idx="3">
                  <c:v>43946</c:v>
                </c:pt>
                <c:pt idx="4">
                  <c:v>43946</c:v>
                </c:pt>
                <c:pt idx="5">
                  <c:v>43946</c:v>
                </c:pt>
                <c:pt idx="6">
                  <c:v>43946</c:v>
                </c:pt>
                <c:pt idx="7">
                  <c:v>43946</c:v>
                </c:pt>
                <c:pt idx="8">
                  <c:v>43946</c:v>
                </c:pt>
                <c:pt idx="9">
                  <c:v>43946</c:v>
                </c:pt>
                <c:pt idx="10">
                  <c:v>43946</c:v>
                </c:pt>
                <c:pt idx="11">
                  <c:v>43946</c:v>
                </c:pt>
                <c:pt idx="12">
                  <c:v>43946</c:v>
                </c:pt>
                <c:pt idx="13">
                  <c:v>43946</c:v>
                </c:pt>
                <c:pt idx="14">
                  <c:v>43946</c:v>
                </c:pt>
                <c:pt idx="15">
                  <c:v>43946</c:v>
                </c:pt>
                <c:pt idx="16">
                  <c:v>43946</c:v>
                </c:pt>
                <c:pt idx="17">
                  <c:v>43946</c:v>
                </c:pt>
                <c:pt idx="18">
                  <c:v>43946</c:v>
                </c:pt>
                <c:pt idx="19">
                  <c:v>43946</c:v>
                </c:pt>
                <c:pt idx="20">
                  <c:v>43946</c:v>
                </c:pt>
                <c:pt idx="21">
                  <c:v>43946</c:v>
                </c:pt>
                <c:pt idx="22">
                  <c:v>43946</c:v>
                </c:pt>
                <c:pt idx="23">
                  <c:v>43946</c:v>
                </c:pt>
                <c:pt idx="24">
                  <c:v>43946</c:v>
                </c:pt>
                <c:pt idx="25">
                  <c:v>43946</c:v>
                </c:pt>
              </c:numCache>
            </c:numRef>
          </c:xVal>
          <c:yVal>
            <c:numRef>
              <c:f>스타일2!$Q$6:$Q$31</c:f>
              <c:numCache>
                <c:formatCode>General</c:formatCode>
                <c:ptCount val="26"/>
                <c:pt idx="0">
                  <c:v>19.100000000000001</c:v>
                </c:pt>
                <c:pt idx="1">
                  <c:v>18.100000000000001</c:v>
                </c:pt>
                <c:pt idx="2">
                  <c:v>17.100000000000001</c:v>
                </c:pt>
                <c:pt idx="3">
                  <c:v>16.100000000000001</c:v>
                </c:pt>
                <c:pt idx="4">
                  <c:v>15.100000000000001</c:v>
                </c:pt>
                <c:pt idx="5">
                  <c:v>14.100000000000001</c:v>
                </c:pt>
                <c:pt idx="6">
                  <c:v>13.100000000000001</c:v>
                </c:pt>
                <c:pt idx="7">
                  <c:v>12.100000000000001</c:v>
                </c:pt>
                <c:pt idx="8">
                  <c:v>11.100000000000001</c:v>
                </c:pt>
                <c:pt idx="9">
                  <c:v>10.100000000000001</c:v>
                </c:pt>
                <c:pt idx="10">
                  <c:v>9.1000000000000014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스타일2!$R$5</c15:f>
                <c15:dlblRangeCache>
                  <c:ptCount val="1"/>
                  <c:pt idx="0">
                    <c:v>오늘 (4월 25일)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72ED-4975-AC56-44172DBF2236}"/>
            </c:ext>
          </c:extLst>
        </c:ser>
        <c:ser>
          <c:idx val="4"/>
          <c:order val="4"/>
          <c:tx>
            <c:v>프로세스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minus"/>
            <c:errValType val="cust"/>
            <c:noEndCap val="1"/>
            <c:plus>
              <c:numRef>
                <c:f>스타일2!$V$6:$V$31</c:f>
                <c:numCache>
                  <c:formatCode>General</c:formatCode>
                  <c:ptCount val="26"/>
                  <c:pt idx="0">
                    <c:v>0</c:v>
                  </c:pt>
                  <c:pt idx="1">
                    <c:v>-1.1000000000000001</c:v>
                  </c:pt>
                  <c:pt idx="2">
                    <c:v>-1.1000000000000001</c:v>
                  </c:pt>
                  <c:pt idx="3">
                    <c:v>-1.1000000000000001</c:v>
                  </c:pt>
                  <c:pt idx="4">
                    <c:v>-1.1000000000000001</c:v>
                  </c:pt>
                  <c:pt idx="5">
                    <c:v>0</c:v>
                  </c:pt>
                  <c:pt idx="6">
                    <c:v>-3.1</c:v>
                  </c:pt>
                  <c:pt idx="7">
                    <c:v>-0.1</c:v>
                  </c:pt>
                  <c:pt idx="8">
                    <c:v>-0.1</c:v>
                  </c:pt>
                  <c:pt idx="9">
                    <c:v>-1.1000000000000001</c:v>
                  </c:pt>
                  <c:pt idx="10">
                    <c:v>-1.1000000000000001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plus>
            <c:minus>
              <c:numRef>
                <c:f>스타일2!$V$6:$V$31</c:f>
                <c:numCache>
                  <c:formatCode>General</c:formatCode>
                  <c:ptCount val="26"/>
                  <c:pt idx="0">
                    <c:v>0</c:v>
                  </c:pt>
                  <c:pt idx="1">
                    <c:v>-1.1000000000000001</c:v>
                  </c:pt>
                  <c:pt idx="2">
                    <c:v>-1.1000000000000001</c:v>
                  </c:pt>
                  <c:pt idx="3">
                    <c:v>-1.1000000000000001</c:v>
                  </c:pt>
                  <c:pt idx="4">
                    <c:v>-1.1000000000000001</c:v>
                  </c:pt>
                  <c:pt idx="5">
                    <c:v>0</c:v>
                  </c:pt>
                  <c:pt idx="6">
                    <c:v>-3.1</c:v>
                  </c:pt>
                  <c:pt idx="7">
                    <c:v>-0.1</c:v>
                  </c:pt>
                  <c:pt idx="8">
                    <c:v>-0.1</c:v>
                  </c:pt>
                  <c:pt idx="9">
                    <c:v>-1.1000000000000001</c:v>
                  </c:pt>
                  <c:pt idx="10">
                    <c:v>-1.1000000000000001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6600"/>
                </a:solidFill>
                <a:round/>
                <a:tailEnd type="triangle"/>
              </a:ln>
              <a:effectLst/>
            </c:spPr>
          </c:errBars>
          <c:errBars>
            <c:errDir val="y"/>
            <c:errBarType val="plus"/>
            <c:errValType val="cust"/>
            <c:noEndCap val="1"/>
            <c:plus>
              <c:numRef>
                <c:f>스타일2!$U$6:$U$31</c:f>
                <c:numCache>
                  <c:formatCode>General</c:formatCode>
                  <c:ptCount val="26"/>
                  <c:pt idx="0">
                    <c:v>0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2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</c:numCache>
              </c:numRef>
            </c:plus>
            <c:minus>
              <c:numRef>
                <c:f>스타일2!$U$6:$U$31</c:f>
                <c:numCache>
                  <c:formatCode>General</c:formatCode>
                  <c:ptCount val="26"/>
                  <c:pt idx="0">
                    <c:v>0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2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6600">
                    <a:alpha val="97000"/>
                  </a:srgbClr>
                </a:solidFill>
                <a:round/>
              </a:ln>
              <a:effectLst/>
            </c:spPr>
          </c:errBars>
          <c:xVal>
            <c:numRef>
              <c:f>스타일2!$T$6:$T$31</c:f>
              <c:numCache>
                <c:formatCode>m"월"\ d"일"</c:formatCode>
                <c:ptCount val="26"/>
                <c:pt idx="0">
                  <c:v>43923</c:v>
                </c:pt>
                <c:pt idx="1">
                  <c:v>43923</c:v>
                </c:pt>
                <c:pt idx="2">
                  <c:v>43928</c:v>
                </c:pt>
                <c:pt idx="3">
                  <c:v>43936</c:v>
                </c:pt>
                <c:pt idx="4">
                  <c:v>43936</c:v>
                </c:pt>
                <c:pt idx="5">
                  <c:v>43948</c:v>
                </c:pt>
                <c:pt idx="6">
                  <c:v>43945</c:v>
                </c:pt>
                <c:pt idx="7">
                  <c:v>43951</c:v>
                </c:pt>
                <c:pt idx="8">
                  <c:v>43957</c:v>
                </c:pt>
                <c:pt idx="9">
                  <c:v>43958</c:v>
                </c:pt>
                <c:pt idx="10">
                  <c:v>43973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xVal>
          <c:yVal>
            <c:numRef>
              <c:f>스타일2!$S$6:$S$31</c:f>
              <c:numCache>
                <c:formatCode>General</c:formatCode>
                <c:ptCount val="26"/>
                <c:pt idx="0">
                  <c:v>19.5</c:v>
                </c:pt>
                <c:pt idx="1">
                  <c:v>18.5</c:v>
                </c:pt>
                <c:pt idx="2">
                  <c:v>17.5</c:v>
                </c:pt>
                <c:pt idx="3">
                  <c:v>16.5</c:v>
                </c:pt>
                <c:pt idx="4">
                  <c:v>15.5</c:v>
                </c:pt>
                <c:pt idx="5">
                  <c:v>14.5</c:v>
                </c:pt>
                <c:pt idx="6">
                  <c:v>13.5</c:v>
                </c:pt>
                <c:pt idx="7">
                  <c:v>12.5</c:v>
                </c:pt>
                <c:pt idx="8">
                  <c:v>11.5</c:v>
                </c:pt>
                <c:pt idx="9">
                  <c:v>10.5</c:v>
                </c:pt>
                <c:pt idx="10">
                  <c:v>9.5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ED-4975-AC56-44172DBF2236}"/>
            </c:ext>
          </c:extLst>
        </c:ser>
        <c:ser>
          <c:idx val="5"/>
          <c:order val="5"/>
          <c:tx>
            <c:v>레이블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8FE4824-9355-4D4D-8E55-8A64E8F33C90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93D-451D-A5D9-489F1EF855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4AC0EB-B2FA-487C-AE14-AFEFC8BE5D63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93D-451D-A5D9-489F1EF855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0CDF17F-F97F-4933-86E8-1C1D8BD9C482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93D-451D-A5D9-489F1EF855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0473E1-916D-4C43-B91B-AFE9CD4422B3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93D-451D-A5D9-489F1EF855E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975B57C-EAB5-4D8E-B6F1-F9ED4A3CD48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93D-451D-A5D9-489F1EF855E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4526C78-F883-472D-98FC-1F26E6CBC6A8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93D-451D-A5D9-489F1EF855E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2A3048E-7B63-485B-A1D5-40F0267EB79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93D-451D-A5D9-489F1EF855E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76A7D1-6317-43C9-9C08-B96279423574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93D-451D-A5D9-489F1EF855E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A24EB18-59EF-40DC-A0AC-4E2000B47BDD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93D-451D-A5D9-489F1EF855E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BEF4995-97C1-449B-ACEF-EC2E7CE6131F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93D-451D-A5D9-489F1EF855E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1A1DAFF-B61A-4587-A515-10F835CCA56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93D-451D-A5D9-489F1EF855E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93D-451D-A5D9-489F1EF855E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93D-451D-A5D9-489F1EF855E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93D-451D-A5D9-489F1EF855E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93D-451D-A5D9-489F1EF855E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93D-451D-A5D9-489F1EF855E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93D-451D-A5D9-489F1EF855E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93D-451D-A5D9-489F1EF855E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93D-451D-A5D9-489F1EF855E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93D-451D-A5D9-489F1EF855E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981-4323-B7BC-C69D89EF80A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981-4323-B7BC-C69D89EF80A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981-4323-B7BC-C69D89EF80A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981-4323-B7BC-C69D89EF80A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981-4323-B7BC-C69D89EF80A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505DF65-FBC2-401E-8365-A48FC85351C5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스타일2!$M$6:$M$31</c:f>
              <c:numCache>
                <c:formatCode>m"월"\ d"일";;;</c:formatCode>
                <c:ptCount val="26"/>
                <c:pt idx="0">
                  <c:v>43923</c:v>
                </c:pt>
                <c:pt idx="1">
                  <c:v>43928</c:v>
                </c:pt>
                <c:pt idx="2">
                  <c:v>43936</c:v>
                </c:pt>
                <c:pt idx="3">
                  <c:v>43945</c:v>
                </c:pt>
                <c:pt idx="4">
                  <c:v>43945</c:v>
                </c:pt>
                <c:pt idx="5">
                  <c:v>43948</c:v>
                </c:pt>
                <c:pt idx="6">
                  <c:v>43951</c:v>
                </c:pt>
                <c:pt idx="7">
                  <c:v>43957</c:v>
                </c:pt>
                <c:pt idx="8">
                  <c:v>43958</c:v>
                </c:pt>
                <c:pt idx="9">
                  <c:v>43973</c:v>
                </c:pt>
                <c:pt idx="10">
                  <c:v>43976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xVal>
          <c:yVal>
            <c:numRef>
              <c:f>스타일2!$S$6:$S$32</c:f>
              <c:numCache>
                <c:formatCode>General</c:formatCode>
                <c:ptCount val="27"/>
                <c:pt idx="0">
                  <c:v>19.5</c:v>
                </c:pt>
                <c:pt idx="1">
                  <c:v>18.5</c:v>
                </c:pt>
                <c:pt idx="2">
                  <c:v>17.5</c:v>
                </c:pt>
                <c:pt idx="3">
                  <c:v>16.5</c:v>
                </c:pt>
                <c:pt idx="4">
                  <c:v>15.5</c:v>
                </c:pt>
                <c:pt idx="5">
                  <c:v>14.5</c:v>
                </c:pt>
                <c:pt idx="6">
                  <c:v>13.5</c:v>
                </c:pt>
                <c:pt idx="7">
                  <c:v>12.5</c:v>
                </c:pt>
                <c:pt idx="8">
                  <c:v>11.5</c:v>
                </c:pt>
                <c:pt idx="9">
                  <c:v>10.5</c:v>
                </c:pt>
                <c:pt idx="10">
                  <c:v>9.5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스타일2!$W$6:$W$31</c15:f>
                <c15:dlblRangeCache>
                  <c:ptCount val="26"/>
                  <c:pt idx="0">
                    <c:v>동종업계 리스트 [최서진MG]</c:v>
                  </c:pt>
                  <c:pt idx="1">
                    <c:v>상하위 20% 목록 [최서진MG]</c:v>
                  </c:pt>
                  <c:pt idx="2">
                    <c:v>업체별 성공/실패 보고서 [최서진MG]</c:v>
                  </c:pt>
                  <c:pt idx="3">
                    <c:v>성장 원동력 분석 보고서 [최예나MG]</c:v>
                  </c:pt>
                  <c:pt idx="4">
                    <c:v>실패 후 극복사례 목록 [최예나MG]</c:v>
                  </c:pt>
                  <c:pt idx="5">
                    <c:v>업체별 YoY 성장률 보고서 [최예나MG]</c:v>
                  </c:pt>
                  <c:pt idx="6">
                    <c:v>업체 미래 수료 예측 보고서 [최서진MG]</c:v>
                  </c:pt>
                  <c:pt idx="7">
                    <c:v>주간회의 보고서 초안 [박승우TL]</c:v>
                  </c:pt>
                  <c:pt idx="8">
                    <c:v>이사회 발표여부 결정 [박승우TL]</c:v>
                  </c:pt>
                  <c:pt idx="9">
                    <c:v>이사회 발표 보고서 [최서진DR]</c:v>
                  </c:pt>
                  <c:pt idx="10">
                    <c:v>프로젝트 진행 [최서진DR]</c:v>
                  </c:pt>
                  <c:pt idx="19">
                    <c:v>`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93D-451D-A5D9-489F1EF85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909823"/>
        <c:axId val="2035893183"/>
      </c:scatterChart>
      <c:catAx>
        <c:axId val="1937401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5918559"/>
        <c:crosses val="autoZero"/>
        <c:auto val="1"/>
        <c:lblAlgn val="ctr"/>
        <c:lblOffset val="100"/>
        <c:noMultiLvlLbl val="0"/>
      </c:catAx>
      <c:valAx>
        <c:axId val="2035918559"/>
        <c:scaling>
          <c:orientation val="minMax"/>
          <c:max val="43985"/>
          <c:min val="439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월&quot;\ d&quot;일&quot;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7401823"/>
        <c:crosses val="autoZero"/>
        <c:crossBetween val="between"/>
      </c:valAx>
      <c:valAx>
        <c:axId val="2035893183"/>
        <c:scaling>
          <c:orientation val="minMax"/>
          <c:max val="20"/>
        </c:scaling>
        <c:delete val="1"/>
        <c:axPos val="r"/>
        <c:numFmt formatCode="General" sourceLinked="1"/>
        <c:majorTickMark val="out"/>
        <c:minorTickMark val="none"/>
        <c:tickLblPos val="nextTo"/>
        <c:crossAx val="2035909823"/>
        <c:crosses val="max"/>
        <c:crossBetween val="midCat"/>
      </c:valAx>
      <c:valAx>
        <c:axId val="2035909823"/>
        <c:scaling>
          <c:orientation val="minMax"/>
        </c:scaling>
        <c:delete val="1"/>
        <c:axPos val="b"/>
        <c:numFmt formatCode="m&quot;월&quot;\ d&quot;일&quot;" sourceLinked="1"/>
        <c:majorTickMark val="out"/>
        <c:minorTickMark val="none"/>
        <c:tickLblPos val="nextTo"/>
        <c:crossAx val="203589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72037</xdr:colOff>
      <xdr:row>18</xdr:row>
      <xdr:rowOff>21305</xdr:rowOff>
    </xdr:from>
    <xdr:to>
      <xdr:col>38</xdr:col>
      <xdr:colOff>568036</xdr:colOff>
      <xdr:row>34</xdr:row>
      <xdr:rowOff>41564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F53469E-4DA3-49D7-BCBF-794D8D2A8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322429</xdr:colOff>
      <xdr:row>32</xdr:row>
      <xdr:rowOff>174296</xdr:rowOff>
    </xdr:from>
    <xdr:to>
      <xdr:col>18</xdr:col>
      <xdr:colOff>9413</xdr:colOff>
      <xdr:row>73</xdr:row>
      <xdr:rowOff>100692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B80D721-DEB2-4EB6-A0A4-5063801384F5}"/>
            </a:ext>
          </a:extLst>
        </xdr:cNvPr>
        <xdr:cNvGrpSpPr/>
      </xdr:nvGrpSpPr>
      <xdr:grpSpPr>
        <a:xfrm>
          <a:off x="326239" y="7183743"/>
          <a:ext cx="16325526" cy="8852682"/>
          <a:chOff x="276325" y="4039524"/>
          <a:chExt cx="13298160" cy="8855791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9010A2F1-DA30-460D-A02C-675CFB2DCFCE}"/>
              </a:ext>
            </a:extLst>
          </xdr:cNvPr>
          <xdr:cNvGrpSpPr/>
        </xdr:nvGrpSpPr>
        <xdr:grpSpPr>
          <a:xfrm>
            <a:off x="276325" y="4039524"/>
            <a:ext cx="13227622" cy="8855791"/>
            <a:chOff x="276319" y="4039524"/>
            <a:chExt cx="13227614" cy="8855791"/>
          </a:xfrm>
        </xdr:grpSpPr>
        <xdr:graphicFrame macro="">
          <xdr:nvGraphicFramePr>
            <xdr:cNvPr id="16" name="차트 15">
              <a:extLst>
                <a:ext uri="{FF2B5EF4-FFF2-40B4-BE49-F238E27FC236}">
                  <a16:creationId xmlns:a16="http://schemas.microsoft.com/office/drawing/2014/main" id="{A07897EE-A317-4C62-BE64-2B584E96250B}"/>
                </a:ext>
              </a:extLst>
            </xdr:cNvPr>
            <xdr:cNvGraphicFramePr>
              <a:graphicFrameLocks/>
            </xdr:cNvGraphicFramePr>
          </xdr:nvGraphicFramePr>
          <xdr:xfrm>
            <a:off x="308541" y="4039524"/>
            <a:ext cx="13195392" cy="885579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291D0946-6488-4BFA-83DA-7D0719A0737E}"/>
                </a:ext>
              </a:extLst>
            </xdr:cNvPr>
            <xdr:cNvCxnSpPr/>
          </xdr:nvCxnSpPr>
          <xdr:spPr>
            <a:xfrm>
              <a:off x="276396" y="4476907"/>
              <a:ext cx="13220035" cy="0"/>
            </a:xfrm>
            <a:prstGeom prst="line">
              <a:avLst/>
            </a:prstGeom>
            <a:ln w="19050">
              <a:solidFill>
                <a:schemeClr val="bg2">
                  <a:lumMod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1F715953-F645-4446-85AA-86303C63EDAA}"/>
                </a:ext>
              </a:extLst>
            </xdr:cNvPr>
            <xdr:cNvCxnSpPr/>
          </xdr:nvCxnSpPr>
          <xdr:spPr>
            <a:xfrm>
              <a:off x="276319" y="4731620"/>
              <a:ext cx="13220159" cy="0"/>
            </a:xfrm>
            <a:prstGeom prst="line">
              <a:avLst/>
            </a:prstGeom>
            <a:ln w="19050">
              <a:solidFill>
                <a:schemeClr val="bg2">
                  <a:lumMod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85785B5C-ED22-41A7-8F42-93D037F5ECEC}"/>
              </a:ext>
            </a:extLst>
          </xdr:cNvPr>
          <xdr:cNvGrpSpPr/>
        </xdr:nvGrpSpPr>
        <xdr:grpSpPr>
          <a:xfrm>
            <a:off x="9498106" y="4049773"/>
            <a:ext cx="912990" cy="296091"/>
            <a:chOff x="9120557" y="4046267"/>
            <a:chExt cx="907547" cy="299357"/>
          </a:xfrm>
        </xdr:grpSpPr>
        <xdr:sp macro="" textlink="">
          <xdr:nvSpPr>
            <xdr:cNvPr id="14" name="직사각형 13">
              <a:extLst>
                <a:ext uri="{FF2B5EF4-FFF2-40B4-BE49-F238E27FC236}">
                  <a16:creationId xmlns:a16="http://schemas.microsoft.com/office/drawing/2014/main" id="{9EAD0027-823E-4742-9E29-E9CACF65079D}"/>
                </a:ext>
              </a:extLst>
            </xdr:cNvPr>
            <xdr:cNvSpPr/>
          </xdr:nvSpPr>
          <xdr:spPr>
            <a:xfrm>
              <a:off x="9120557" y="4175799"/>
              <a:ext cx="475769" cy="70772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059425C-B7E2-4328-8ECC-A40D97451F64}"/>
                </a:ext>
              </a:extLst>
            </xdr:cNvPr>
            <xdr:cNvSpPr txBox="1"/>
          </xdr:nvSpPr>
          <xdr:spPr>
            <a:xfrm>
              <a:off x="9566101" y="4046267"/>
              <a:ext cx="462003" cy="2993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ko-KR" altLang="en-US" sz="1000"/>
                <a:t>계획</a:t>
              </a:r>
            </a:p>
          </xdr:txBody>
        </xdr:sp>
      </xdr:grpSp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41DAC7F1-6BD6-4842-B9A6-B7CAE482B0B6}"/>
              </a:ext>
            </a:extLst>
          </xdr:cNvPr>
          <xdr:cNvGrpSpPr/>
        </xdr:nvGrpSpPr>
        <xdr:grpSpPr>
          <a:xfrm>
            <a:off x="10578479" y="4049773"/>
            <a:ext cx="920100" cy="296091"/>
            <a:chOff x="10195343" y="4046267"/>
            <a:chExt cx="914657" cy="299357"/>
          </a:xfrm>
        </xdr:grpSpPr>
        <xdr:sp macro="" textlink="">
          <xdr:nvSpPr>
            <xdr:cNvPr id="12" name="직사각형 11">
              <a:extLst>
                <a:ext uri="{FF2B5EF4-FFF2-40B4-BE49-F238E27FC236}">
                  <a16:creationId xmlns:a16="http://schemas.microsoft.com/office/drawing/2014/main" id="{DA22F6D4-F427-4630-B4FC-52D1003A6950}"/>
                </a:ext>
              </a:extLst>
            </xdr:cNvPr>
            <xdr:cNvSpPr/>
          </xdr:nvSpPr>
          <xdr:spPr>
            <a:xfrm>
              <a:off x="10195343" y="4176895"/>
              <a:ext cx="473528" cy="68581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922520B-7EB7-4C21-B342-BA65741B2225}"/>
                </a:ext>
              </a:extLst>
            </xdr:cNvPr>
            <xdr:cNvSpPr txBox="1"/>
          </xdr:nvSpPr>
          <xdr:spPr>
            <a:xfrm>
              <a:off x="10647997" y="4046267"/>
              <a:ext cx="462003" cy="2993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ko-KR" altLang="en-US" sz="1000"/>
                <a:t>예정</a:t>
              </a:r>
            </a:p>
          </xdr:txBody>
        </xdr:sp>
      </xdr:grpSp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87CFE84A-6372-4477-A969-BF2D14CDF635}"/>
              </a:ext>
            </a:extLst>
          </xdr:cNvPr>
          <xdr:cNvGrpSpPr/>
        </xdr:nvGrpSpPr>
        <xdr:grpSpPr>
          <a:xfrm>
            <a:off x="11589764" y="4049773"/>
            <a:ext cx="927719" cy="296091"/>
            <a:chOff x="11201032" y="4046267"/>
            <a:chExt cx="922276" cy="299357"/>
          </a:xfrm>
        </xdr:grpSpPr>
        <xdr:sp macro="" textlink="">
          <xdr:nvSpPr>
            <xdr:cNvPr id="10" name="직사각형 9">
              <a:extLst>
                <a:ext uri="{FF2B5EF4-FFF2-40B4-BE49-F238E27FC236}">
                  <a16:creationId xmlns:a16="http://schemas.microsoft.com/office/drawing/2014/main" id="{B4421818-3B97-4237-87A5-6BF8D37E6E1B}"/>
                </a:ext>
              </a:extLst>
            </xdr:cNvPr>
            <xdr:cNvSpPr/>
          </xdr:nvSpPr>
          <xdr:spPr>
            <a:xfrm>
              <a:off x="11201032" y="4175327"/>
              <a:ext cx="478971" cy="71717"/>
            </a:xfrm>
            <a:prstGeom prst="rect">
              <a:avLst/>
            </a:prstGeom>
            <a:solidFill>
              <a:srgbClr val="FF66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3506157-076A-4FE5-843D-92D435A19954}"/>
                </a:ext>
              </a:extLst>
            </xdr:cNvPr>
            <xdr:cNvSpPr txBox="1"/>
          </xdr:nvSpPr>
          <xdr:spPr>
            <a:xfrm>
              <a:off x="11661305" y="4046267"/>
              <a:ext cx="462003" cy="2993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ko-KR" altLang="en-US" sz="1000"/>
                <a:t>진행</a:t>
              </a:r>
            </a:p>
          </xdr:txBody>
        </xdr:sp>
      </xdr:grpSp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A163F3DE-6F62-4FD3-A4E3-025967E70EEE}"/>
              </a:ext>
            </a:extLst>
          </xdr:cNvPr>
          <xdr:cNvGrpSpPr/>
        </xdr:nvGrpSpPr>
        <xdr:grpSpPr>
          <a:xfrm>
            <a:off x="12639146" y="4042153"/>
            <a:ext cx="935339" cy="296091"/>
            <a:chOff x="12302070" y="4061507"/>
            <a:chExt cx="934251" cy="299357"/>
          </a:xfrm>
        </xdr:grpSpPr>
        <xdr:cxnSp macro="">
          <xdr:nvCxnSpPr>
            <xdr:cNvPr id="8" name="직선 화살표 연결선 7">
              <a:extLst>
                <a:ext uri="{FF2B5EF4-FFF2-40B4-BE49-F238E27FC236}">
                  <a16:creationId xmlns:a16="http://schemas.microsoft.com/office/drawing/2014/main" id="{D7F23F58-FF1F-45F4-AFCE-85616595C516}"/>
                </a:ext>
              </a:extLst>
            </xdr:cNvPr>
            <xdr:cNvCxnSpPr/>
          </xdr:nvCxnSpPr>
          <xdr:spPr>
            <a:xfrm>
              <a:off x="12302070" y="4211185"/>
              <a:ext cx="446314" cy="0"/>
            </a:xfrm>
            <a:prstGeom prst="straightConnector1">
              <a:avLst/>
            </a:prstGeom>
            <a:ln>
              <a:solidFill>
                <a:srgbClr val="FF66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C16D712-F856-4131-B4B7-384C14FBBD24}"/>
                </a:ext>
              </a:extLst>
            </xdr:cNvPr>
            <xdr:cNvSpPr txBox="1"/>
          </xdr:nvSpPr>
          <xdr:spPr>
            <a:xfrm>
              <a:off x="12774318" y="4061507"/>
              <a:ext cx="462003" cy="2993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ko-KR" altLang="en-US" sz="1000"/>
                <a:t>과정</a:t>
              </a:r>
            </a:p>
          </xdr:txBody>
        </xdr:sp>
      </xdr:grpSp>
    </xdr:grpSp>
    <xdr:clientData/>
  </xdr:twoCellAnchor>
  <xdr:twoCellAnchor>
    <xdr:from>
      <xdr:col>0</xdr:col>
      <xdr:colOff>274704</xdr:colOff>
      <xdr:row>32</xdr:row>
      <xdr:rowOff>64353</xdr:rowOff>
    </xdr:from>
    <xdr:to>
      <xdr:col>5</xdr:col>
      <xdr:colOff>198505</xdr:colOff>
      <xdr:row>33</xdr:row>
      <xdr:rowOff>216753</xdr:rowOff>
    </xdr:to>
    <xdr:sp macro="" textlink="$E$2">
      <xdr:nvSpPr>
        <xdr:cNvPr id="19" name="사각형: 둥근 모서리 18">
          <a:extLst>
            <a:ext uri="{FF2B5EF4-FFF2-40B4-BE49-F238E27FC236}">
              <a16:creationId xmlns:a16="http://schemas.microsoft.com/office/drawing/2014/main" id="{61000F22-44EF-4536-A3D6-D3481FD58700}"/>
            </a:ext>
          </a:extLst>
        </xdr:cNvPr>
        <xdr:cNvSpPr/>
      </xdr:nvSpPr>
      <xdr:spPr>
        <a:xfrm>
          <a:off x="274704" y="5779353"/>
          <a:ext cx="8164287" cy="37011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035A0CE-EC21-455D-8ACE-AD9A6F25463D}" type="TxLink">
            <a:rPr lang="ko-KR" altLang="en-US" sz="1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오빠두엑셀 프로젝트 (4월 1일~5월 13일) [진행률: 74%]</a:t>
          </a:fld>
          <a:endParaRPr lang="ko-KR" alt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342903</xdr:colOff>
      <xdr:row>56</xdr:row>
      <xdr:rowOff>141513</xdr:rowOff>
    </xdr:from>
    <xdr:to>
      <xdr:col>15</xdr:col>
      <xdr:colOff>1017818</xdr:colOff>
      <xdr:row>56</xdr:row>
      <xdr:rowOff>141513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9B0A8686-0A1F-49AE-B555-EE9DA4ADA4AA}"/>
            </a:ext>
          </a:extLst>
        </xdr:cNvPr>
        <xdr:cNvCxnSpPr/>
      </xdr:nvCxnSpPr>
      <xdr:spPr>
        <a:xfrm>
          <a:off x="342903" y="11081656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38</xdr:row>
      <xdr:rowOff>10885</xdr:rowOff>
    </xdr:from>
    <xdr:to>
      <xdr:col>15</xdr:col>
      <xdr:colOff>1017818</xdr:colOff>
      <xdr:row>38</xdr:row>
      <xdr:rowOff>10885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428C1274-D26B-4913-B05E-CD7700989131}"/>
            </a:ext>
          </a:extLst>
        </xdr:cNvPr>
        <xdr:cNvCxnSpPr/>
      </xdr:nvCxnSpPr>
      <xdr:spPr>
        <a:xfrm>
          <a:off x="342903" y="7032171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39</xdr:row>
      <xdr:rowOff>198120</xdr:rowOff>
    </xdr:from>
    <xdr:to>
      <xdr:col>15</xdr:col>
      <xdr:colOff>1017818</xdr:colOff>
      <xdr:row>39</xdr:row>
      <xdr:rowOff>198120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26988F09-CEC4-4306-9357-32676F7E55B3}"/>
            </a:ext>
          </a:extLst>
        </xdr:cNvPr>
        <xdr:cNvCxnSpPr/>
      </xdr:nvCxnSpPr>
      <xdr:spPr>
        <a:xfrm>
          <a:off x="342903" y="7437120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41</xdr:row>
      <xdr:rowOff>167640</xdr:rowOff>
    </xdr:from>
    <xdr:to>
      <xdr:col>15</xdr:col>
      <xdr:colOff>1017818</xdr:colOff>
      <xdr:row>41</xdr:row>
      <xdr:rowOff>167640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1335BCA9-93EF-4A74-B1DB-5148AF87614C}"/>
            </a:ext>
          </a:extLst>
        </xdr:cNvPr>
        <xdr:cNvCxnSpPr/>
      </xdr:nvCxnSpPr>
      <xdr:spPr>
        <a:xfrm>
          <a:off x="342903" y="7842069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43</xdr:row>
      <xdr:rowOff>137161</xdr:rowOff>
    </xdr:from>
    <xdr:to>
      <xdr:col>15</xdr:col>
      <xdr:colOff>1017818</xdr:colOff>
      <xdr:row>43</xdr:row>
      <xdr:rowOff>137161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4B3FDA2F-62B5-4BF3-8CD4-3EA8F91ADBA1}"/>
            </a:ext>
          </a:extLst>
        </xdr:cNvPr>
        <xdr:cNvCxnSpPr/>
      </xdr:nvCxnSpPr>
      <xdr:spPr>
        <a:xfrm>
          <a:off x="342903" y="8247018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45</xdr:row>
      <xdr:rowOff>106681</xdr:rowOff>
    </xdr:from>
    <xdr:to>
      <xdr:col>15</xdr:col>
      <xdr:colOff>1017818</xdr:colOff>
      <xdr:row>45</xdr:row>
      <xdr:rowOff>106681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4EB49B69-32DB-4EA9-8DDF-D09E76D47156}"/>
            </a:ext>
          </a:extLst>
        </xdr:cNvPr>
        <xdr:cNvCxnSpPr/>
      </xdr:nvCxnSpPr>
      <xdr:spPr>
        <a:xfrm>
          <a:off x="342903" y="8651967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47</xdr:row>
      <xdr:rowOff>76202</xdr:rowOff>
    </xdr:from>
    <xdr:to>
      <xdr:col>15</xdr:col>
      <xdr:colOff>1017818</xdr:colOff>
      <xdr:row>47</xdr:row>
      <xdr:rowOff>76202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81060D38-556A-4F0D-8ADF-09F8D6C7A5D7}"/>
            </a:ext>
          </a:extLst>
        </xdr:cNvPr>
        <xdr:cNvCxnSpPr/>
      </xdr:nvCxnSpPr>
      <xdr:spPr>
        <a:xfrm>
          <a:off x="342903" y="9056916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49</xdr:row>
      <xdr:rowOff>45721</xdr:rowOff>
    </xdr:from>
    <xdr:to>
      <xdr:col>15</xdr:col>
      <xdr:colOff>1017818</xdr:colOff>
      <xdr:row>49</xdr:row>
      <xdr:rowOff>45721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36ACFFDE-06A0-4D64-8471-0571A2B10B51}"/>
            </a:ext>
          </a:extLst>
        </xdr:cNvPr>
        <xdr:cNvCxnSpPr/>
      </xdr:nvCxnSpPr>
      <xdr:spPr>
        <a:xfrm>
          <a:off x="342903" y="9461864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51</xdr:row>
      <xdr:rowOff>15242</xdr:rowOff>
    </xdr:from>
    <xdr:to>
      <xdr:col>15</xdr:col>
      <xdr:colOff>1017818</xdr:colOff>
      <xdr:row>51</xdr:row>
      <xdr:rowOff>15242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4017BFAE-90F4-4318-81F3-B648A51FBB1E}"/>
            </a:ext>
          </a:extLst>
        </xdr:cNvPr>
        <xdr:cNvCxnSpPr/>
      </xdr:nvCxnSpPr>
      <xdr:spPr>
        <a:xfrm>
          <a:off x="342903" y="9866813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52</xdr:row>
      <xdr:rowOff>202476</xdr:rowOff>
    </xdr:from>
    <xdr:to>
      <xdr:col>15</xdr:col>
      <xdr:colOff>1017818</xdr:colOff>
      <xdr:row>52</xdr:row>
      <xdr:rowOff>202476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30F34A-7ED9-4EA8-BD52-35C4D8B56DB2}"/>
            </a:ext>
          </a:extLst>
        </xdr:cNvPr>
        <xdr:cNvCxnSpPr/>
      </xdr:nvCxnSpPr>
      <xdr:spPr>
        <a:xfrm>
          <a:off x="342903" y="10271762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54</xdr:row>
      <xdr:rowOff>171997</xdr:rowOff>
    </xdr:from>
    <xdr:to>
      <xdr:col>15</xdr:col>
      <xdr:colOff>1017818</xdr:colOff>
      <xdr:row>54</xdr:row>
      <xdr:rowOff>171997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4331343C-21D3-4D3D-9EC6-29B8E1FE8F98}"/>
            </a:ext>
          </a:extLst>
        </xdr:cNvPr>
        <xdr:cNvCxnSpPr/>
      </xdr:nvCxnSpPr>
      <xdr:spPr>
        <a:xfrm>
          <a:off x="342903" y="10676711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58</xdr:row>
      <xdr:rowOff>111276</xdr:rowOff>
    </xdr:from>
    <xdr:to>
      <xdr:col>15</xdr:col>
      <xdr:colOff>1017818</xdr:colOff>
      <xdr:row>58</xdr:row>
      <xdr:rowOff>111276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45AE8CB0-4B39-4D6E-BE26-34BCD8929B0C}"/>
            </a:ext>
          </a:extLst>
        </xdr:cNvPr>
        <xdr:cNvCxnSpPr/>
      </xdr:nvCxnSpPr>
      <xdr:spPr>
        <a:xfrm>
          <a:off x="342903" y="11486847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60</xdr:row>
      <xdr:rowOff>81038</xdr:rowOff>
    </xdr:from>
    <xdr:to>
      <xdr:col>15</xdr:col>
      <xdr:colOff>1017818</xdr:colOff>
      <xdr:row>60</xdr:row>
      <xdr:rowOff>81038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EC3612C-D81D-4D3F-81CB-2676ACAABD60}"/>
            </a:ext>
          </a:extLst>
        </xdr:cNvPr>
        <xdr:cNvCxnSpPr/>
      </xdr:nvCxnSpPr>
      <xdr:spPr>
        <a:xfrm>
          <a:off x="342903" y="11892038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62</xdr:row>
      <xdr:rowOff>50800</xdr:rowOff>
    </xdr:from>
    <xdr:to>
      <xdr:col>15</xdr:col>
      <xdr:colOff>1017818</xdr:colOff>
      <xdr:row>62</xdr:row>
      <xdr:rowOff>50800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28F1F2B2-0B10-45C4-BAB5-9461A925619F}"/>
            </a:ext>
          </a:extLst>
        </xdr:cNvPr>
        <xdr:cNvCxnSpPr/>
      </xdr:nvCxnSpPr>
      <xdr:spPr>
        <a:xfrm>
          <a:off x="342903" y="12297229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64</xdr:row>
      <xdr:rowOff>20563</xdr:rowOff>
    </xdr:from>
    <xdr:to>
      <xdr:col>15</xdr:col>
      <xdr:colOff>1017818</xdr:colOff>
      <xdr:row>64</xdr:row>
      <xdr:rowOff>20563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0D268770-D671-477D-A100-4B6981FFD30D}"/>
            </a:ext>
          </a:extLst>
        </xdr:cNvPr>
        <xdr:cNvCxnSpPr/>
      </xdr:nvCxnSpPr>
      <xdr:spPr>
        <a:xfrm>
          <a:off x="342903" y="12702420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65</xdr:row>
      <xdr:rowOff>208040</xdr:rowOff>
    </xdr:from>
    <xdr:to>
      <xdr:col>15</xdr:col>
      <xdr:colOff>1017818</xdr:colOff>
      <xdr:row>65</xdr:row>
      <xdr:rowOff>208040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8FD498EE-CFDD-4686-B258-C9EBB5D0571A}"/>
            </a:ext>
          </a:extLst>
        </xdr:cNvPr>
        <xdr:cNvCxnSpPr/>
      </xdr:nvCxnSpPr>
      <xdr:spPr>
        <a:xfrm>
          <a:off x="342903" y="13107611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67</xdr:row>
      <xdr:rowOff>177802</xdr:rowOff>
    </xdr:from>
    <xdr:to>
      <xdr:col>15</xdr:col>
      <xdr:colOff>1017818</xdr:colOff>
      <xdr:row>67</xdr:row>
      <xdr:rowOff>177802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8C2AE296-4AF9-444B-876B-EDD6F5183DE3}"/>
            </a:ext>
          </a:extLst>
        </xdr:cNvPr>
        <xdr:cNvCxnSpPr/>
      </xdr:nvCxnSpPr>
      <xdr:spPr>
        <a:xfrm>
          <a:off x="342903" y="13512802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69</xdr:row>
      <xdr:rowOff>147564</xdr:rowOff>
    </xdr:from>
    <xdr:to>
      <xdr:col>15</xdr:col>
      <xdr:colOff>1017818</xdr:colOff>
      <xdr:row>69</xdr:row>
      <xdr:rowOff>147564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5D98E090-627D-4268-B93E-19262338A5FC}"/>
            </a:ext>
          </a:extLst>
        </xdr:cNvPr>
        <xdr:cNvCxnSpPr/>
      </xdr:nvCxnSpPr>
      <xdr:spPr>
        <a:xfrm>
          <a:off x="342903" y="13917993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71</xdr:row>
      <xdr:rowOff>117327</xdr:rowOff>
    </xdr:from>
    <xdr:to>
      <xdr:col>15</xdr:col>
      <xdr:colOff>1017818</xdr:colOff>
      <xdr:row>71</xdr:row>
      <xdr:rowOff>117327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3DEFCA1F-8C26-45AD-9AFF-AFFDA4417664}"/>
            </a:ext>
          </a:extLst>
        </xdr:cNvPr>
        <xdr:cNvCxnSpPr/>
      </xdr:nvCxnSpPr>
      <xdr:spPr>
        <a:xfrm>
          <a:off x="342903" y="14323184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342903</xdr:colOff>
      <xdr:row>73</xdr:row>
      <xdr:rowOff>87085</xdr:rowOff>
    </xdr:from>
    <xdr:to>
      <xdr:col>15</xdr:col>
      <xdr:colOff>1017818</xdr:colOff>
      <xdr:row>73</xdr:row>
      <xdr:rowOff>87085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FAD46A14-512B-45FD-8226-1001B1BE3640}"/>
            </a:ext>
          </a:extLst>
        </xdr:cNvPr>
        <xdr:cNvCxnSpPr/>
      </xdr:nvCxnSpPr>
      <xdr:spPr>
        <a:xfrm>
          <a:off x="342903" y="14728371"/>
          <a:ext cx="16274144" cy="0"/>
        </a:xfrm>
        <a:prstGeom prst="line">
          <a:avLst/>
        </a:prstGeom>
        <a:ln>
          <a:solidFill>
            <a:schemeClr val="bg1">
              <a:lumMod val="9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0724;&#48736;&#46160;&#50641;&#49472;/Google%20&#46300;&#46972;&#51060;&#48652;/&#47928;&#49436;&#49436;&#49885;/&#50641;&#49472;%20&#45804;&#47141;%20&#51088;&#46041;&#54868;%20&#50577;&#49885;/&#50641;&#49472;%20&#44277;&#55092;&#51068;%20&#51068;&#51221;%20&#51088;&#46041;&#54868;%20&#45804;&#47141;%20v1.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ppad\Dropbox\9.%20&#45236;%20&#46300;&#47213;&#48149;&#49828;\@.%20%23&#50724;&#48736;&#46160;\@%20&#50641;&#49472;%20-%20&#50689;&#49345;&#44053;&#51032;\0a_&#46972;&#51060;&#48652;%20&#48169;&#49569;%20&#50696;&#51228;\214&#54924;%20-%20&#50641;&#49472;%20&#51088;&#46041;&#54868;%20&#44036;&#53944;&#52264;&#53944;%20&#47564;&#46308;&#44592;\&#50641;&#49472;LIVE214&#54924;%20-%20&#50641;&#49472;%20&#51088;&#46041;&#54868;%20&#44036;&#53944;&#52264;&#53944;%20&#47564;&#46308;&#44592;%20-%20&#50756;&#49457;&#54028;&#51068;.xlsx" TargetMode="External"/><Relationship Id="rId1" Type="http://schemas.openxmlformats.org/officeDocument/2006/relationships/externalLinkPath" Target="/Users/oppad/Dropbox/9.%20&#45236;%20&#46300;&#47213;&#48149;&#49828;/@.%20%23&#50724;&#48736;&#46160;/@%20&#50641;&#49472;%20-%20&#50689;&#49345;&#44053;&#51032;/0a_&#46972;&#51060;&#48652;%20&#48169;&#49569;%20&#50696;&#51228;/214&#54924;%20-%20&#50641;&#49472;%20&#51088;&#46041;&#54868;%20&#44036;&#53944;&#52264;&#53944;%20&#47564;&#46308;&#44592;/&#50641;&#49472;LIVE214&#54924;%20-%20&#50641;&#49472;%20&#51088;&#46041;&#54868;%20&#44036;&#53944;&#52264;&#53944;%20&#47564;&#46308;&#44592;%20-%20&#50756;&#49457;&#54028;&#5106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padu/Desktop/&#50641;&#49472;%20&#51068;&#51221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달력"/>
      <sheetName val="일정관리"/>
      <sheetName val="설정"/>
      <sheetName val="연결이미지"/>
    </sheetNames>
    <sheetDataSet>
      <sheetData sheetId="0">
        <row r="3">
          <cell r="AL3" t="str">
            <v>2020년 3월 달력</v>
          </cell>
        </row>
        <row r="5">
          <cell r="B5" t="str">
            <v>Sun</v>
          </cell>
          <cell r="G5" t="str">
            <v>Mon</v>
          </cell>
          <cell r="L5" t="str">
            <v>Tue</v>
          </cell>
          <cell r="Q5" t="str">
            <v>Wed</v>
          </cell>
          <cell r="V5" t="str">
            <v>Thu</v>
          </cell>
          <cell r="AA5" t="str">
            <v>Fri</v>
          </cell>
          <cell r="AF5" t="str">
            <v>Sat</v>
          </cell>
        </row>
      </sheetData>
      <sheetData sheetId="1">
        <row r="1">
          <cell r="A1" t="str">
            <v>1900-01-02</v>
          </cell>
          <cell r="B1" t="str">
            <v>1</v>
          </cell>
          <cell r="C1" t="str">
            <v>0</v>
          </cell>
          <cell r="J1" t="str">
            <v>일정</v>
          </cell>
          <cell r="K1" t="str">
            <v>아이콘</v>
          </cell>
          <cell r="W1" t="str">
            <v>메모일</v>
          </cell>
          <cell r="X1" t="str">
            <v>메모</v>
          </cell>
          <cell r="AA1" t="str">
            <v>요일</v>
          </cell>
        </row>
        <row r="2">
          <cell r="A2">
            <v>43831</v>
          </cell>
          <cell r="B2">
            <v>43831</v>
          </cell>
          <cell r="C2" t="str">
            <v>신정</v>
          </cell>
          <cell r="J2">
            <v>43878</v>
          </cell>
          <cell r="K2" t="str">
            <v>📷</v>
          </cell>
          <cell r="M2" t="str">
            <v>초록</v>
          </cell>
          <cell r="N2" t="str">
            <v>📷 영상 촬영</v>
          </cell>
          <cell r="W2">
            <v>43845</v>
          </cell>
          <cell r="X2" t="str">
            <v>마케팅 본부 김영식 팀장님 안부인사 드리기</v>
          </cell>
          <cell r="AA2" t="str">
            <v>월</v>
          </cell>
        </row>
        <row r="3">
          <cell r="A3">
            <v>43854</v>
          </cell>
          <cell r="B3">
            <v>43854</v>
          </cell>
          <cell r="C3" t="str">
            <v>설날</v>
          </cell>
          <cell r="J3">
            <v>43880</v>
          </cell>
          <cell r="K3" t="str">
            <v>✏️</v>
          </cell>
          <cell r="W3">
            <v>43862</v>
          </cell>
          <cell r="X3" t="str">
            <v>중국 베이징 관련 담당자 메일 통보</v>
          </cell>
          <cell r="AA3" t="str">
            <v>수</v>
          </cell>
        </row>
        <row r="4">
          <cell r="A4">
            <v>43855</v>
          </cell>
          <cell r="B4">
            <v>43855</v>
          </cell>
          <cell r="C4" t="str">
            <v>설날</v>
          </cell>
          <cell r="J4">
            <v>43881</v>
          </cell>
          <cell r="K4" t="str">
            <v>🎁</v>
          </cell>
          <cell r="W4">
            <v>43864</v>
          </cell>
          <cell r="X4" t="str">
            <v>김상혁 상무님께 출장품의 최종검토 필요</v>
          </cell>
        </row>
        <row r="5">
          <cell r="A5">
            <v>43856</v>
          </cell>
          <cell r="B5">
            <v>43856</v>
          </cell>
          <cell r="C5" t="str">
            <v>설날</v>
          </cell>
          <cell r="J5">
            <v>43886</v>
          </cell>
          <cell r="K5" t="str">
            <v>🎁</v>
          </cell>
          <cell r="W5">
            <v>43876</v>
          </cell>
          <cell r="X5" t="str">
            <v>편집자 회의 후 후속조치 항목 정리</v>
          </cell>
        </row>
        <row r="6">
          <cell r="A6">
            <v>43891</v>
          </cell>
          <cell r="B6">
            <v>43891</v>
          </cell>
          <cell r="C6" t="str">
            <v>삼일절</v>
          </cell>
          <cell r="J6">
            <v>43887</v>
          </cell>
          <cell r="K6" t="str">
            <v>💻</v>
          </cell>
          <cell r="W6">
            <v>43874</v>
          </cell>
          <cell r="X6" t="str">
            <v>마케팅 회의 담당부서 회의록 초안 취합</v>
          </cell>
        </row>
        <row r="7">
          <cell r="A7">
            <v>43956</v>
          </cell>
          <cell r="B7">
            <v>43956</v>
          </cell>
          <cell r="C7" t="str">
            <v>어린이날</v>
          </cell>
          <cell r="J7">
            <v>43888</v>
          </cell>
          <cell r="K7" t="str">
            <v>✔️</v>
          </cell>
          <cell r="W7">
            <v>43885</v>
          </cell>
          <cell r="X7" t="str">
            <v>마케팅 회의 관련 팀장 미팅 일정 공지</v>
          </cell>
        </row>
        <row r="8">
          <cell r="A8">
            <v>43951</v>
          </cell>
          <cell r="B8">
            <v>43951</v>
          </cell>
          <cell r="C8" t="str">
            <v>석가탄신일</v>
          </cell>
          <cell r="J8">
            <v>43889</v>
          </cell>
          <cell r="K8" t="str">
            <v>✔️</v>
          </cell>
          <cell r="W8">
            <v>43878</v>
          </cell>
          <cell r="X8" t="str">
            <v>회장님 골프 일정 확인</v>
          </cell>
        </row>
        <row r="9">
          <cell r="A9">
            <v>43988</v>
          </cell>
          <cell r="B9">
            <v>43988</v>
          </cell>
          <cell r="C9" t="str">
            <v>현충일</v>
          </cell>
          <cell r="J9">
            <v>43889</v>
          </cell>
          <cell r="K9" t="str">
            <v>💻</v>
          </cell>
        </row>
        <row r="10">
          <cell r="A10">
            <v>44058</v>
          </cell>
          <cell r="B10">
            <v>44058</v>
          </cell>
          <cell r="C10" t="str">
            <v>광복절</v>
          </cell>
          <cell r="J10">
            <v>43891</v>
          </cell>
          <cell r="K10" t="str">
            <v>📝</v>
          </cell>
        </row>
        <row r="11">
          <cell r="A11">
            <v>44104</v>
          </cell>
          <cell r="B11">
            <v>44104</v>
          </cell>
          <cell r="C11" t="str">
            <v>추석</v>
          </cell>
          <cell r="J11">
            <v>43891</v>
          </cell>
          <cell r="K11" t="str">
            <v>📽</v>
          </cell>
        </row>
        <row r="12">
          <cell r="A12">
            <v>44105</v>
          </cell>
          <cell r="B12">
            <v>44105</v>
          </cell>
          <cell r="C12" t="str">
            <v>추석</v>
          </cell>
          <cell r="J12">
            <v>43891</v>
          </cell>
          <cell r="K12" t="str">
            <v>📝</v>
          </cell>
        </row>
        <row r="13">
          <cell r="A13">
            <v>44106</v>
          </cell>
          <cell r="B13">
            <v>44106</v>
          </cell>
          <cell r="C13" t="str">
            <v>추석</v>
          </cell>
          <cell r="J13">
            <v>43892</v>
          </cell>
          <cell r="K13" t="str">
            <v>📝</v>
          </cell>
        </row>
        <row r="14">
          <cell r="A14">
            <v>44107</v>
          </cell>
          <cell r="B14">
            <v>44107</v>
          </cell>
          <cell r="C14" t="str">
            <v>개천절</v>
          </cell>
          <cell r="J14">
            <v>43898</v>
          </cell>
          <cell r="K14" t="str">
            <v>✏️</v>
          </cell>
        </row>
        <row r="15">
          <cell r="A15">
            <v>44113</v>
          </cell>
          <cell r="B15">
            <v>44113</v>
          </cell>
          <cell r="C15" t="str">
            <v>한글날</v>
          </cell>
          <cell r="J15">
            <v>43909</v>
          </cell>
          <cell r="K15" t="str">
            <v>⏰</v>
          </cell>
        </row>
        <row r="16">
          <cell r="A16">
            <v>44190</v>
          </cell>
          <cell r="B16">
            <v>44190</v>
          </cell>
          <cell r="C16" t="str">
            <v>성탄절</v>
          </cell>
          <cell r="J16">
            <v>43917</v>
          </cell>
          <cell r="K16" t="str">
            <v>📝</v>
          </cell>
        </row>
        <row r="17">
          <cell r="A17" t="str">
            <v>1900-01-02</v>
          </cell>
          <cell r="B17" t="str">
            <v>1</v>
          </cell>
          <cell r="C17" t="str">
            <v>02</v>
          </cell>
          <cell r="J17">
            <v>43864</v>
          </cell>
          <cell r="K17" t="str">
            <v>⏰</v>
          </cell>
        </row>
        <row r="18">
          <cell r="A18">
            <v>43893</v>
          </cell>
          <cell r="B18">
            <v>43893</v>
          </cell>
          <cell r="C18" t="str">
            <v>회사창립일</v>
          </cell>
        </row>
        <row r="19">
          <cell r="A19">
            <v>43911</v>
          </cell>
          <cell r="B19">
            <v>43911</v>
          </cell>
          <cell r="C19" t="str">
            <v>어머님 생신</v>
          </cell>
        </row>
        <row r="20">
          <cell r="A20">
            <v>43915</v>
          </cell>
          <cell r="B20">
            <v>43915</v>
          </cell>
          <cell r="C20" t="str">
            <v>결혼기념일</v>
          </cell>
        </row>
        <row r="21">
          <cell r="A21">
            <v>43926</v>
          </cell>
          <cell r="B21">
            <v>43560</v>
          </cell>
          <cell r="C21" t="str">
            <v>식목일</v>
          </cell>
        </row>
        <row r="22">
          <cell r="A22">
            <v>44174</v>
          </cell>
          <cell r="B22">
            <v>43078</v>
          </cell>
          <cell r="C22" t="str">
            <v>오빠두설립일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진행흐름_간트차트_예제"/>
      <sheetName val="조건부서식_간트차트_예제"/>
      <sheetName val="조건부서식예제(저사양PC용)"/>
      <sheetName val="색상정의"/>
      <sheetName val="✨보충강의"/>
    </sheetNames>
    <sheetDataSet>
      <sheetData sheetId="0"/>
      <sheetData sheetId="1">
        <row r="7">
          <cell r="E7" t="str">
            <v>일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정표"/>
    </sheetNames>
    <sheetDataSet>
      <sheetData sheetId="0">
        <row r="6">
          <cell r="H6" t="str">
            <v/>
          </cell>
          <cell r="J6" t="str">
            <v/>
          </cell>
          <cell r="L6" t="str">
            <v/>
          </cell>
          <cell r="N6" t="str">
            <v>📷 주변 여행지 관광</v>
          </cell>
          <cell r="P6" t="str">
            <v/>
          </cell>
        </row>
        <row r="7">
          <cell r="H7" t="str">
            <v>✈️ 숙소 도착 및 개인짐 정리</v>
          </cell>
          <cell r="J7" t="str">
            <v/>
          </cell>
          <cell r="L7" t="str">
            <v>🎤 부서별 개선사항 회의 및 발표준비</v>
          </cell>
          <cell r="N7" t="str">
            <v/>
          </cell>
          <cell r="P7" t="str">
            <v>📝 올해의 VIP 수상</v>
          </cell>
        </row>
        <row r="8">
          <cell r="H8" t="str">
            <v/>
          </cell>
          <cell r="J8" t="str">
            <v>✏️ 신규 재고관리 체계 논의</v>
          </cell>
          <cell r="L8" t="str">
            <v/>
          </cell>
          <cell r="N8" t="str">
            <v/>
          </cell>
          <cell r="P8" t="str">
            <v/>
          </cell>
        </row>
        <row r="9">
          <cell r="H9" t="str">
            <v/>
          </cell>
          <cell r="J9" t="str">
            <v/>
          </cell>
          <cell r="L9" t="str">
            <v/>
          </cell>
          <cell r="N9" t="str">
            <v/>
          </cell>
          <cell r="P9" t="str">
            <v/>
          </cell>
        </row>
        <row r="10">
          <cell r="H10" t="str">
            <v/>
          </cell>
          <cell r="J10" t="str">
            <v/>
          </cell>
          <cell r="L10" t="str">
            <v/>
          </cell>
          <cell r="N10" t="str">
            <v/>
          </cell>
          <cell r="P10" t="str">
            <v/>
          </cell>
        </row>
        <row r="11">
          <cell r="H11" t="str">
            <v/>
          </cell>
          <cell r="J11" t="str">
            <v/>
          </cell>
          <cell r="L11" t="str">
            <v/>
          </cell>
          <cell r="N11" t="str">
            <v/>
          </cell>
          <cell r="P11" t="str">
            <v>✈️ 퇴실준비 및 복귀</v>
          </cell>
        </row>
        <row r="12">
          <cell r="H12" t="str">
            <v/>
          </cell>
          <cell r="J12" t="str">
            <v/>
          </cell>
          <cell r="L12" t="str">
            <v>💻 부서별 개선사항 발표</v>
          </cell>
          <cell r="N12" t="str">
            <v/>
          </cell>
          <cell r="P12" t="str">
            <v/>
          </cell>
        </row>
        <row r="13">
          <cell r="H13" t="str">
            <v>✔️ 자유시간</v>
          </cell>
          <cell r="J13" t="str">
            <v/>
          </cell>
          <cell r="L13" t="str">
            <v/>
          </cell>
          <cell r="N13" t="str">
            <v/>
          </cell>
          <cell r="P13" t="str">
            <v/>
          </cell>
        </row>
        <row r="14">
          <cell r="H14" t="str">
            <v/>
          </cell>
          <cell r="J14" t="str">
            <v/>
          </cell>
          <cell r="L14" t="str">
            <v/>
          </cell>
          <cell r="N14" t="str">
            <v/>
          </cell>
          <cell r="P14" t="str">
            <v/>
          </cell>
        </row>
        <row r="15">
          <cell r="H15" t="str">
            <v/>
          </cell>
          <cell r="J15" t="str">
            <v/>
          </cell>
          <cell r="L15" t="str">
            <v/>
          </cell>
          <cell r="N15" t="str">
            <v/>
          </cell>
          <cell r="P15" t="str">
            <v/>
          </cell>
        </row>
        <row r="16">
          <cell r="H16" t="str">
            <v/>
          </cell>
          <cell r="J16" t="str">
            <v>🎤 신입사원 자기소개</v>
          </cell>
          <cell r="L16" t="str">
            <v/>
          </cell>
          <cell r="N16" t="str">
            <v/>
          </cell>
          <cell r="P16" t="str">
            <v/>
          </cell>
        </row>
        <row r="17">
          <cell r="H17" t="str">
            <v/>
          </cell>
          <cell r="J17" t="str">
            <v/>
          </cell>
          <cell r="L17" t="str">
            <v/>
          </cell>
          <cell r="N17" t="str">
            <v/>
          </cell>
          <cell r="P1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7D26-1146-4B95-B4BF-E71B878B9A78}">
  <sheetPr>
    <pageSetUpPr autoPageBreaks="0"/>
  </sheetPr>
  <dimension ref="B1:AM36"/>
  <sheetViews>
    <sheetView topLeftCell="A19" zoomScale="55" zoomScaleNormal="55" workbookViewId="0">
      <selection activeCell="E14" sqref="E14"/>
    </sheetView>
  </sheetViews>
  <sheetFormatPr defaultColWidth="8.6875" defaultRowHeight="19.25" customHeight="1" outlineLevelCol="1"/>
  <cols>
    <col min="1" max="1" width="2.6875" style="48" customWidth="1"/>
    <col min="2" max="2" width="5.375" style="48" customWidth="1"/>
    <col min="3" max="3" width="27" style="48" customWidth="1"/>
    <col min="4" max="4" width="12.1875" style="48" customWidth="1"/>
    <col min="5" max="5" width="23" style="48" customWidth="1" outlineLevel="1"/>
    <col min="6" max="6" width="27" style="48" customWidth="1" outlineLevel="1"/>
    <col min="7" max="7" width="13.5" style="51" customWidth="1"/>
    <col min="8" max="8" width="13.5" style="49" customWidth="1"/>
    <col min="9" max="10" width="13.5" style="49" hidden="1" customWidth="1" outlineLevel="1"/>
    <col min="11" max="11" width="13.5" style="50" customWidth="1" collapsed="1"/>
    <col min="12" max="13" width="13.5" style="50" hidden="1" customWidth="1" outlineLevel="1"/>
    <col min="14" max="14" width="3.6875" style="48" customWidth="1" collapsed="1"/>
    <col min="15" max="15" width="26.1875" style="48" hidden="1" customWidth="1" outlineLevel="1"/>
    <col min="16" max="16" width="3.6875" style="48" customWidth="1" collapsed="1"/>
    <col min="17" max="18" width="13.5" style="49" customWidth="1"/>
    <col min="19" max="20" width="13.5" style="49" hidden="1" customWidth="1" outlineLevel="1"/>
    <col min="21" max="21" width="13.625" style="49" hidden="1" customWidth="1" outlineLevel="1"/>
    <col min="22" max="22" width="3.6875" style="48" customWidth="1" collapsed="1"/>
    <col min="23" max="24" width="14.1875" style="49" hidden="1" customWidth="1" outlineLevel="1"/>
    <col min="25" max="25" width="3.6875" style="48" customWidth="1" collapsed="1"/>
    <col min="26" max="30" width="14.1875" style="49" hidden="1" customWidth="1" outlineLevel="1"/>
    <col min="31" max="31" width="19.625" style="48" customWidth="1" collapsed="1"/>
    <col min="32" max="16384" width="8.6875" style="48"/>
  </cols>
  <sheetData>
    <row r="1" spans="2:30" s="70" customFormat="1" ht="22.25" customHeight="1">
      <c r="G1" s="76">
        <v>45729</v>
      </c>
      <c r="H1" s="74"/>
      <c r="I1" s="74"/>
      <c r="J1" s="74"/>
      <c r="K1" s="75"/>
      <c r="L1" s="75"/>
      <c r="M1" s="75"/>
      <c r="Q1" s="74"/>
      <c r="R1" s="74"/>
      <c r="S1" s="74"/>
      <c r="T1" s="74"/>
      <c r="U1" s="74"/>
      <c r="W1" s="74"/>
      <c r="Z1" s="74"/>
      <c r="AA1" s="74"/>
      <c r="AB1" s="74"/>
      <c r="AC1" s="74"/>
      <c r="AD1" s="74"/>
    </row>
    <row r="2" spans="2:30" ht="27" customHeight="1">
      <c r="B2" s="73" t="s">
        <v>112</v>
      </c>
      <c r="C2" s="73"/>
      <c r="D2" s="73"/>
      <c r="E2" s="73"/>
      <c r="F2" s="73"/>
      <c r="G2" s="72" t="s">
        <v>5</v>
      </c>
      <c r="H2" s="72"/>
      <c r="I2" s="72"/>
      <c r="J2" s="72"/>
      <c r="K2" s="72"/>
      <c r="L2" s="72"/>
      <c r="M2" s="72"/>
      <c r="O2" s="71" t="s">
        <v>111</v>
      </c>
      <c r="Q2" s="71" t="s">
        <v>4</v>
      </c>
      <c r="R2" s="71"/>
      <c r="S2" s="71"/>
      <c r="T2" s="71"/>
      <c r="U2" s="71"/>
      <c r="V2" s="70"/>
      <c r="W2" s="77" t="s">
        <v>110</v>
      </c>
      <c r="X2" s="77"/>
      <c r="Z2" s="69" t="s">
        <v>109</v>
      </c>
      <c r="AA2" s="69"/>
      <c r="AB2" s="69"/>
      <c r="AC2" s="69"/>
      <c r="AD2" s="69"/>
    </row>
    <row r="3" spans="2:30" s="62" customFormat="1" ht="27" customHeight="1" thickBot="1">
      <c r="B3" s="68" t="s">
        <v>108</v>
      </c>
      <c r="C3" s="67" t="s">
        <v>107</v>
      </c>
      <c r="D3" s="67" t="s">
        <v>106</v>
      </c>
      <c r="E3" s="67" t="s">
        <v>105</v>
      </c>
      <c r="F3" s="67" t="s">
        <v>104</v>
      </c>
      <c r="G3" s="66" t="s">
        <v>97</v>
      </c>
      <c r="H3" s="65" t="s">
        <v>103</v>
      </c>
      <c r="I3" s="65" t="s">
        <v>102</v>
      </c>
      <c r="J3" s="65" t="s">
        <v>101</v>
      </c>
      <c r="K3" s="64" t="s">
        <v>11</v>
      </c>
      <c r="L3" s="64" t="s">
        <v>100</v>
      </c>
      <c r="M3" s="64" t="s">
        <v>99</v>
      </c>
      <c r="O3" s="63" t="s">
        <v>98</v>
      </c>
      <c r="Q3" s="63" t="s">
        <v>97</v>
      </c>
      <c r="R3" s="63" t="s">
        <v>96</v>
      </c>
      <c r="S3" s="63" t="s">
        <v>95</v>
      </c>
      <c r="T3" s="63" t="s">
        <v>94</v>
      </c>
      <c r="U3" s="63" t="s">
        <v>93</v>
      </c>
      <c r="W3" s="63" t="s">
        <v>92</v>
      </c>
      <c r="X3" s="63" t="s">
        <v>2</v>
      </c>
      <c r="Z3" s="63" t="s">
        <v>92</v>
      </c>
      <c r="AA3" s="63" t="s">
        <v>91</v>
      </c>
      <c r="AB3" s="63" t="s">
        <v>90</v>
      </c>
      <c r="AC3" s="63" t="s">
        <v>89</v>
      </c>
      <c r="AD3" s="63" t="s">
        <v>88</v>
      </c>
    </row>
    <row r="4" spans="2:30" ht="29.45" customHeight="1">
      <c r="B4" s="49">
        <v>1</v>
      </c>
      <c r="C4" s="58" t="s">
        <v>87</v>
      </c>
      <c r="D4" s="58" t="s">
        <v>86</v>
      </c>
      <c r="E4" s="58" t="s">
        <v>85</v>
      </c>
      <c r="F4" s="58" t="s">
        <v>82</v>
      </c>
      <c r="G4" s="59">
        <f>G1-35</f>
        <v>45694</v>
      </c>
      <c r="H4" s="58">
        <v>20</v>
      </c>
      <c r="I4" s="57">
        <f t="shared" ref="I4:I17" si="0">J4-G4</f>
        <v>28</v>
      </c>
      <c r="J4" s="56">
        <f t="shared" ref="J4:J17" si="1">WORKDAY.INTL(G4,H4,1)</f>
        <v>45722</v>
      </c>
      <c r="K4" s="50">
        <v>1</v>
      </c>
      <c r="L4" s="61">
        <f t="shared" ref="L4:L17" si="2">K4*I4</f>
        <v>28</v>
      </c>
      <c r="M4" s="61">
        <v>1</v>
      </c>
      <c r="O4" s="60" t="str">
        <f t="shared" ref="O4:O17" si="3">IF(C4="","",E4&amp;" ["&amp;D4&amp;"]")</f>
        <v>요구사항 명세서 [김민수]</v>
      </c>
      <c r="Q4" s="59">
        <f>G1-35</f>
        <v>45694</v>
      </c>
      <c r="R4" s="58">
        <v>20</v>
      </c>
      <c r="S4" s="57">
        <f t="shared" ref="S4:S17" si="4">T4-Q4</f>
        <v>28</v>
      </c>
      <c r="T4" s="56">
        <f t="shared" ref="T4:T17" si="5">WORKDAY.INTL(Q4,R4,1)</f>
        <v>45722</v>
      </c>
      <c r="U4" s="54">
        <f t="shared" ref="U4:U16" si="6">U5+1</f>
        <v>13.1</v>
      </c>
      <c r="W4" s="54">
        <f t="shared" ref="W4:W16" si="7">W5+1</f>
        <v>13.5</v>
      </c>
      <c r="X4" s="55">
        <f t="shared" ref="X4:X17" si="8">$G$1</f>
        <v>45729</v>
      </c>
      <c r="Z4" s="54">
        <f t="shared" ref="Z4:Z16" si="9">Z5+1</f>
        <v>13.5</v>
      </c>
      <c r="AA4" s="55">
        <f t="shared" ref="AA4:AA17" si="10">VLOOKUP(F4,$C$4:$J$17,8,0)</f>
        <v>45722</v>
      </c>
      <c r="AB4" s="54">
        <f t="shared" ref="AB4:AB17" si="11">VLOOKUP(F4,$C$4:$Z$17,24,0)</f>
        <v>13.5</v>
      </c>
      <c r="AC4" s="54">
        <f t="shared" ref="AC4:AC17" si="12">AB4-Z4</f>
        <v>0</v>
      </c>
      <c r="AD4" s="54">
        <f t="shared" ref="AD4:AD17" si="13">IF(AA4&gt;=G4,0,G4-AA4)</f>
        <v>0</v>
      </c>
    </row>
    <row r="5" spans="2:30" ht="29.45" customHeight="1">
      <c r="B5" s="49">
        <v>2</v>
      </c>
      <c r="C5" s="58" t="s">
        <v>76</v>
      </c>
      <c r="D5" s="58" t="s">
        <v>68</v>
      </c>
      <c r="E5" s="58" t="s">
        <v>84</v>
      </c>
      <c r="F5" s="58" t="s">
        <v>82</v>
      </c>
      <c r="G5" s="59">
        <f>G4+I4+3</f>
        <v>45725</v>
      </c>
      <c r="H5" s="58">
        <v>15</v>
      </c>
      <c r="I5" s="57">
        <f t="shared" si="0"/>
        <v>19</v>
      </c>
      <c r="J5" s="56">
        <f t="shared" si="1"/>
        <v>45744</v>
      </c>
      <c r="K5" s="50">
        <v>0.8</v>
      </c>
      <c r="L5" s="61">
        <f t="shared" si="2"/>
        <v>15.200000000000001</v>
      </c>
      <c r="M5" s="61">
        <v>1</v>
      </c>
      <c r="O5" s="60" t="str">
        <f t="shared" si="3"/>
        <v>최적화 설계도 [박지영]</v>
      </c>
      <c r="Q5" s="59">
        <f>Q4+S4+3</f>
        <v>45725</v>
      </c>
      <c r="R5" s="58">
        <v>10</v>
      </c>
      <c r="S5" s="57">
        <f t="shared" si="4"/>
        <v>12</v>
      </c>
      <c r="T5" s="56">
        <f t="shared" si="5"/>
        <v>45737</v>
      </c>
      <c r="U5" s="54">
        <f t="shared" si="6"/>
        <v>12.1</v>
      </c>
      <c r="W5" s="54">
        <f t="shared" si="7"/>
        <v>12.5</v>
      </c>
      <c r="X5" s="55">
        <f t="shared" si="8"/>
        <v>45729</v>
      </c>
      <c r="Z5" s="54">
        <f t="shared" si="9"/>
        <v>12.5</v>
      </c>
      <c r="AA5" s="55">
        <f t="shared" si="10"/>
        <v>45722</v>
      </c>
      <c r="AB5" s="54">
        <f t="shared" si="11"/>
        <v>13.5</v>
      </c>
      <c r="AC5" s="54">
        <f t="shared" si="12"/>
        <v>1</v>
      </c>
      <c r="AD5" s="54">
        <f t="shared" si="13"/>
        <v>3</v>
      </c>
    </row>
    <row r="6" spans="2:30" ht="29.45" customHeight="1">
      <c r="B6" s="49">
        <v>3</v>
      </c>
      <c r="C6" s="58" t="s">
        <v>69</v>
      </c>
      <c r="D6" s="58" t="s">
        <v>65</v>
      </c>
      <c r="E6" s="58" t="s">
        <v>83</v>
      </c>
      <c r="F6" s="58" t="s">
        <v>82</v>
      </c>
      <c r="G6" s="59">
        <f>G4+I4+4</f>
        <v>45726</v>
      </c>
      <c r="H6" s="58">
        <v>30</v>
      </c>
      <c r="I6" s="57">
        <f t="shared" si="0"/>
        <v>42</v>
      </c>
      <c r="J6" s="56">
        <f t="shared" si="1"/>
        <v>45768</v>
      </c>
      <c r="K6" s="50">
        <v>0.5</v>
      </c>
      <c r="L6" s="61">
        <f t="shared" si="2"/>
        <v>21</v>
      </c>
      <c r="M6" s="61">
        <v>1</v>
      </c>
      <c r="O6" s="60" t="str">
        <f t="shared" si="3"/>
        <v>WMS 시스템 [이준호]</v>
      </c>
      <c r="Q6" s="59">
        <f>Q4+S4+4</f>
        <v>45726</v>
      </c>
      <c r="R6" s="58">
        <v>20</v>
      </c>
      <c r="S6" s="57">
        <f t="shared" si="4"/>
        <v>28</v>
      </c>
      <c r="T6" s="56">
        <f t="shared" si="5"/>
        <v>45754</v>
      </c>
      <c r="U6" s="54">
        <f t="shared" si="6"/>
        <v>11.1</v>
      </c>
      <c r="W6" s="54">
        <f t="shared" si="7"/>
        <v>11.5</v>
      </c>
      <c r="X6" s="55">
        <f t="shared" si="8"/>
        <v>45729</v>
      </c>
      <c r="Z6" s="54">
        <f t="shared" si="9"/>
        <v>11.5</v>
      </c>
      <c r="AA6" s="55">
        <f t="shared" si="10"/>
        <v>45722</v>
      </c>
      <c r="AB6" s="54">
        <f t="shared" si="11"/>
        <v>13.5</v>
      </c>
      <c r="AC6" s="54">
        <f t="shared" si="12"/>
        <v>2</v>
      </c>
      <c r="AD6" s="54">
        <f t="shared" si="13"/>
        <v>4</v>
      </c>
    </row>
    <row r="7" spans="2:30" ht="29.45" customHeight="1">
      <c r="B7" s="49">
        <v>4</v>
      </c>
      <c r="C7" s="58" t="s">
        <v>81</v>
      </c>
      <c r="D7" s="58" t="s">
        <v>80</v>
      </c>
      <c r="E7" s="58" t="s">
        <v>79</v>
      </c>
      <c r="F7" s="58" t="s">
        <v>76</v>
      </c>
      <c r="G7" s="59">
        <f>J6+5</f>
        <v>45773</v>
      </c>
      <c r="H7" s="58">
        <v>15</v>
      </c>
      <c r="I7" s="57">
        <f t="shared" si="0"/>
        <v>20</v>
      </c>
      <c r="J7" s="56">
        <f t="shared" si="1"/>
        <v>45793</v>
      </c>
      <c r="K7" s="50">
        <v>0.5</v>
      </c>
      <c r="L7" s="61">
        <f t="shared" si="2"/>
        <v>10</v>
      </c>
      <c r="M7" s="61">
        <v>1</v>
      </c>
      <c r="O7" s="60" t="str">
        <f t="shared" si="3"/>
        <v>개선된 프로세스 매뉴얼 [최영희]</v>
      </c>
      <c r="Q7" s="59">
        <f>T6+5</f>
        <v>45759</v>
      </c>
      <c r="R7" s="58">
        <v>10</v>
      </c>
      <c r="S7" s="57">
        <f t="shared" si="4"/>
        <v>13</v>
      </c>
      <c r="T7" s="56">
        <f t="shared" si="5"/>
        <v>45772</v>
      </c>
      <c r="U7" s="54">
        <f t="shared" si="6"/>
        <v>10.1</v>
      </c>
      <c r="W7" s="54">
        <f t="shared" si="7"/>
        <v>10.5</v>
      </c>
      <c r="X7" s="55">
        <f t="shared" si="8"/>
        <v>45729</v>
      </c>
      <c r="Z7" s="54">
        <f t="shared" si="9"/>
        <v>10.5</v>
      </c>
      <c r="AA7" s="55">
        <f t="shared" si="10"/>
        <v>45744</v>
      </c>
      <c r="AB7" s="54">
        <f t="shared" si="11"/>
        <v>12.5</v>
      </c>
      <c r="AC7" s="54">
        <f t="shared" si="12"/>
        <v>2</v>
      </c>
      <c r="AD7" s="54">
        <f t="shared" si="13"/>
        <v>29</v>
      </c>
    </row>
    <row r="8" spans="2:30" ht="29.45" customHeight="1">
      <c r="B8" s="49">
        <v>5</v>
      </c>
      <c r="C8" s="58" t="s">
        <v>73</v>
      </c>
      <c r="D8" s="58" t="s">
        <v>78</v>
      </c>
      <c r="E8" s="58" t="s">
        <v>77</v>
      </c>
      <c r="F8" s="58" t="s">
        <v>76</v>
      </c>
      <c r="G8" s="59">
        <f>J6+5</f>
        <v>45773</v>
      </c>
      <c r="H8" s="58">
        <v>21</v>
      </c>
      <c r="I8" s="57">
        <f t="shared" si="0"/>
        <v>30</v>
      </c>
      <c r="J8" s="56">
        <f t="shared" si="1"/>
        <v>45803</v>
      </c>
      <c r="K8" s="50">
        <v>0.5</v>
      </c>
      <c r="L8" s="61">
        <f t="shared" si="2"/>
        <v>15</v>
      </c>
      <c r="M8" s="61">
        <v>1</v>
      </c>
      <c r="O8" s="60" t="str">
        <f t="shared" si="3"/>
        <v>설치 완료 보고서 [정대현]</v>
      </c>
      <c r="Q8" s="59">
        <f>T6+5</f>
        <v>45759</v>
      </c>
      <c r="R8" s="58">
        <v>15</v>
      </c>
      <c r="S8" s="57">
        <f t="shared" si="4"/>
        <v>20</v>
      </c>
      <c r="T8" s="56">
        <f t="shared" si="5"/>
        <v>45779</v>
      </c>
      <c r="U8" s="54">
        <f t="shared" si="6"/>
        <v>9.1</v>
      </c>
      <c r="W8" s="54">
        <f t="shared" si="7"/>
        <v>9.5</v>
      </c>
      <c r="X8" s="55">
        <f t="shared" si="8"/>
        <v>45729</v>
      </c>
      <c r="Z8" s="54">
        <f t="shared" si="9"/>
        <v>9.5</v>
      </c>
      <c r="AA8" s="55">
        <f t="shared" si="10"/>
        <v>45744</v>
      </c>
      <c r="AB8" s="54">
        <f t="shared" si="11"/>
        <v>12.5</v>
      </c>
      <c r="AC8" s="54">
        <f t="shared" si="12"/>
        <v>3</v>
      </c>
      <c r="AD8" s="54">
        <f t="shared" si="13"/>
        <v>29</v>
      </c>
    </row>
    <row r="9" spans="2:30" ht="29.45" customHeight="1">
      <c r="B9" s="49">
        <v>6</v>
      </c>
      <c r="C9" s="58" t="s">
        <v>66</v>
      </c>
      <c r="D9" s="58" t="s">
        <v>75</v>
      </c>
      <c r="E9" s="58" t="s">
        <v>74</v>
      </c>
      <c r="F9" s="58" t="s">
        <v>73</v>
      </c>
      <c r="G9" s="59">
        <f>J8+3</f>
        <v>45806</v>
      </c>
      <c r="H9" s="58">
        <v>10</v>
      </c>
      <c r="I9" s="57">
        <f t="shared" si="0"/>
        <v>14</v>
      </c>
      <c r="J9" s="56">
        <f t="shared" si="1"/>
        <v>45820</v>
      </c>
      <c r="K9" s="50">
        <v>1</v>
      </c>
      <c r="L9" s="61">
        <f t="shared" si="2"/>
        <v>14</v>
      </c>
      <c r="M9" s="61">
        <v>1</v>
      </c>
      <c r="O9" s="60" t="str">
        <f t="shared" si="3"/>
        <v>테스트 결과 보고서 [김민수]</v>
      </c>
      <c r="Q9" s="59">
        <f>T8+3</f>
        <v>45782</v>
      </c>
      <c r="R9" s="58">
        <v>20</v>
      </c>
      <c r="S9" s="57">
        <f t="shared" si="4"/>
        <v>28</v>
      </c>
      <c r="T9" s="56">
        <f t="shared" si="5"/>
        <v>45810</v>
      </c>
      <c r="U9" s="54">
        <f t="shared" si="6"/>
        <v>8.1</v>
      </c>
      <c r="W9" s="54">
        <f t="shared" si="7"/>
        <v>8.5</v>
      </c>
      <c r="X9" s="55">
        <f t="shared" si="8"/>
        <v>45729</v>
      </c>
      <c r="Z9" s="54">
        <f t="shared" si="9"/>
        <v>8.5</v>
      </c>
      <c r="AA9" s="55">
        <f t="shared" si="10"/>
        <v>45803</v>
      </c>
      <c r="AB9" s="54">
        <f t="shared" si="11"/>
        <v>9.5</v>
      </c>
      <c r="AC9" s="54">
        <f t="shared" si="12"/>
        <v>1</v>
      </c>
      <c r="AD9" s="54">
        <f t="shared" si="13"/>
        <v>3</v>
      </c>
    </row>
    <row r="10" spans="2:30" ht="29.45" customHeight="1">
      <c r="B10" s="49">
        <v>7</v>
      </c>
      <c r="C10" s="58" t="s">
        <v>72</v>
      </c>
      <c r="D10" s="58" t="s">
        <v>71</v>
      </c>
      <c r="E10" s="58" t="s">
        <v>70</v>
      </c>
      <c r="F10" s="58" t="s">
        <v>69</v>
      </c>
      <c r="G10" s="59">
        <f>G9+I9+3</f>
        <v>45823</v>
      </c>
      <c r="H10" s="58">
        <v>7</v>
      </c>
      <c r="I10" s="57">
        <f t="shared" si="0"/>
        <v>9</v>
      </c>
      <c r="J10" s="56">
        <f t="shared" si="1"/>
        <v>45832</v>
      </c>
      <c r="K10" s="50">
        <v>0.5</v>
      </c>
      <c r="L10" s="61">
        <f t="shared" si="2"/>
        <v>4.5</v>
      </c>
      <c r="M10" s="61">
        <v>1</v>
      </c>
      <c r="O10" s="60" t="str">
        <f t="shared" si="3"/>
        <v>교육 수료 인증서 [한소연]</v>
      </c>
      <c r="Q10" s="59">
        <f>Q9+S9+3</f>
        <v>45813</v>
      </c>
      <c r="R10" s="58">
        <v>10</v>
      </c>
      <c r="S10" s="57">
        <f t="shared" si="4"/>
        <v>14</v>
      </c>
      <c r="T10" s="56">
        <f t="shared" si="5"/>
        <v>45827</v>
      </c>
      <c r="U10" s="54">
        <f t="shared" si="6"/>
        <v>7.1</v>
      </c>
      <c r="W10" s="54">
        <f t="shared" si="7"/>
        <v>7.5</v>
      </c>
      <c r="X10" s="55">
        <f t="shared" si="8"/>
        <v>45729</v>
      </c>
      <c r="Z10" s="54">
        <f t="shared" si="9"/>
        <v>7.5</v>
      </c>
      <c r="AA10" s="55">
        <f t="shared" si="10"/>
        <v>45768</v>
      </c>
      <c r="AB10" s="54">
        <f t="shared" si="11"/>
        <v>11.5</v>
      </c>
      <c r="AC10" s="54">
        <f t="shared" si="12"/>
        <v>4</v>
      </c>
      <c r="AD10" s="54">
        <f t="shared" si="13"/>
        <v>55</v>
      </c>
    </row>
    <row r="11" spans="2:30" ht="29.45" customHeight="1">
      <c r="B11" s="49">
        <v>8</v>
      </c>
      <c r="C11" s="58" t="s">
        <v>63</v>
      </c>
      <c r="D11" s="58" t="s">
        <v>68</v>
      </c>
      <c r="E11" s="58" t="s">
        <v>67</v>
      </c>
      <c r="F11" s="58" t="s">
        <v>66</v>
      </c>
      <c r="G11" s="59">
        <f>J10+4</f>
        <v>45836</v>
      </c>
      <c r="H11" s="58">
        <v>14</v>
      </c>
      <c r="I11" s="57">
        <f t="shared" si="0"/>
        <v>19</v>
      </c>
      <c r="J11" s="56">
        <f t="shared" si="1"/>
        <v>45855</v>
      </c>
      <c r="K11" s="50">
        <v>0.2</v>
      </c>
      <c r="L11" s="61">
        <f t="shared" si="2"/>
        <v>3.8000000000000003</v>
      </c>
      <c r="M11" s="61">
        <v>1</v>
      </c>
      <c r="O11" s="60" t="str">
        <f t="shared" si="3"/>
        <v>파일럿 운영 결과 보고서 [박지영]</v>
      </c>
      <c r="Q11" s="59">
        <f>T10+4</f>
        <v>45831</v>
      </c>
      <c r="R11" s="58">
        <v>15</v>
      </c>
      <c r="S11" s="57">
        <f t="shared" si="4"/>
        <v>21</v>
      </c>
      <c r="T11" s="56">
        <f t="shared" si="5"/>
        <v>45852</v>
      </c>
      <c r="U11" s="54">
        <f t="shared" si="6"/>
        <v>6.1</v>
      </c>
      <c r="W11" s="54">
        <f t="shared" si="7"/>
        <v>6.5</v>
      </c>
      <c r="X11" s="55">
        <f t="shared" si="8"/>
        <v>45729</v>
      </c>
      <c r="Z11" s="54">
        <f t="shared" si="9"/>
        <v>6.5</v>
      </c>
      <c r="AA11" s="55">
        <f t="shared" si="10"/>
        <v>45820</v>
      </c>
      <c r="AB11" s="54">
        <f t="shared" si="11"/>
        <v>8.5</v>
      </c>
      <c r="AC11" s="54">
        <f t="shared" si="12"/>
        <v>2</v>
      </c>
      <c r="AD11" s="54">
        <f t="shared" si="13"/>
        <v>16</v>
      </c>
    </row>
    <row r="12" spans="2:30" ht="29.45" customHeight="1">
      <c r="B12" s="49">
        <v>9</v>
      </c>
      <c r="C12" s="58" t="s">
        <v>59</v>
      </c>
      <c r="D12" s="58" t="s">
        <v>65</v>
      </c>
      <c r="E12" s="58" t="s">
        <v>64</v>
      </c>
      <c r="F12" s="58" t="s">
        <v>63</v>
      </c>
      <c r="G12" s="59">
        <f>J11+4</f>
        <v>45859</v>
      </c>
      <c r="H12" s="58">
        <v>7</v>
      </c>
      <c r="I12" s="57">
        <f t="shared" si="0"/>
        <v>9</v>
      </c>
      <c r="J12" s="56">
        <f t="shared" si="1"/>
        <v>45868</v>
      </c>
      <c r="K12" s="50">
        <v>0</v>
      </c>
      <c r="L12" s="61">
        <f t="shared" si="2"/>
        <v>0</v>
      </c>
      <c r="M12" s="61">
        <v>1</v>
      </c>
      <c r="O12" s="60" t="str">
        <f t="shared" si="3"/>
        <v>최적화 보고서 [이준호]</v>
      </c>
      <c r="Q12" s="59">
        <f>T11+4</f>
        <v>45856</v>
      </c>
      <c r="R12" s="58">
        <v>7</v>
      </c>
      <c r="S12" s="57">
        <f t="shared" si="4"/>
        <v>11</v>
      </c>
      <c r="T12" s="56">
        <f t="shared" si="5"/>
        <v>45867</v>
      </c>
      <c r="U12" s="54">
        <f t="shared" si="6"/>
        <v>5.0999999999999996</v>
      </c>
      <c r="W12" s="54">
        <f t="shared" si="7"/>
        <v>5.5</v>
      </c>
      <c r="X12" s="55">
        <f t="shared" si="8"/>
        <v>45729</v>
      </c>
      <c r="Z12" s="54">
        <f t="shared" si="9"/>
        <v>5.5</v>
      </c>
      <c r="AA12" s="55">
        <f t="shared" si="10"/>
        <v>45855</v>
      </c>
      <c r="AB12" s="54">
        <f t="shared" si="11"/>
        <v>6.5</v>
      </c>
      <c r="AC12" s="54">
        <f t="shared" si="12"/>
        <v>1</v>
      </c>
      <c r="AD12" s="54">
        <f t="shared" si="13"/>
        <v>4</v>
      </c>
    </row>
    <row r="13" spans="2:30" ht="29.45" customHeight="1">
      <c r="B13" s="49">
        <v>10</v>
      </c>
      <c r="C13" s="58" t="s">
        <v>62</v>
      </c>
      <c r="D13" s="58" t="s">
        <v>61</v>
      </c>
      <c r="E13" s="58" t="s">
        <v>60</v>
      </c>
      <c r="F13" s="58" t="s">
        <v>59</v>
      </c>
      <c r="G13" s="59">
        <f>J12+3</f>
        <v>45871</v>
      </c>
      <c r="H13" s="58">
        <v>7</v>
      </c>
      <c r="I13" s="57">
        <f t="shared" si="0"/>
        <v>10</v>
      </c>
      <c r="J13" s="56">
        <f t="shared" si="1"/>
        <v>45881</v>
      </c>
      <c r="K13" s="50">
        <v>0</v>
      </c>
      <c r="L13" s="61">
        <f t="shared" si="2"/>
        <v>0</v>
      </c>
      <c r="M13" s="61">
        <v>1</v>
      </c>
      <c r="O13" s="60" t="str">
        <f t="shared" si="3"/>
        <v>최종 보고서 [강태산]</v>
      </c>
      <c r="Q13" s="59">
        <f>T12+3</f>
        <v>45870</v>
      </c>
      <c r="R13" s="58">
        <v>7</v>
      </c>
      <c r="S13" s="57">
        <f t="shared" si="4"/>
        <v>11</v>
      </c>
      <c r="T13" s="56">
        <f t="shared" si="5"/>
        <v>45881</v>
      </c>
      <c r="U13" s="54">
        <f t="shared" si="6"/>
        <v>4.0999999999999996</v>
      </c>
      <c r="W13" s="54">
        <f t="shared" si="7"/>
        <v>4.5</v>
      </c>
      <c r="X13" s="55">
        <f t="shared" si="8"/>
        <v>45729</v>
      </c>
      <c r="Z13" s="54">
        <f t="shared" si="9"/>
        <v>4.5</v>
      </c>
      <c r="AA13" s="55">
        <f t="shared" si="10"/>
        <v>45868</v>
      </c>
      <c r="AB13" s="54">
        <f t="shared" si="11"/>
        <v>5.5</v>
      </c>
      <c r="AC13" s="54">
        <f t="shared" si="12"/>
        <v>1</v>
      </c>
      <c r="AD13" s="54">
        <f t="shared" si="13"/>
        <v>3</v>
      </c>
    </row>
    <row r="14" spans="2:30" ht="29.45" customHeight="1">
      <c r="B14" s="49">
        <v>11</v>
      </c>
      <c r="C14" s="58"/>
      <c r="D14" s="58"/>
      <c r="E14" s="58"/>
      <c r="F14" s="58"/>
      <c r="G14" s="59"/>
      <c r="H14" s="58"/>
      <c r="I14" s="57">
        <f t="shared" si="0"/>
        <v>0</v>
      </c>
      <c r="J14" s="56">
        <f t="shared" si="1"/>
        <v>0</v>
      </c>
      <c r="L14" s="61">
        <f t="shared" si="2"/>
        <v>0</v>
      </c>
      <c r="M14" s="61">
        <v>1</v>
      </c>
      <c r="O14" s="60" t="str">
        <f t="shared" si="3"/>
        <v/>
      </c>
      <c r="Q14" s="59"/>
      <c r="R14" s="58"/>
      <c r="S14" s="57">
        <f t="shared" si="4"/>
        <v>0</v>
      </c>
      <c r="T14" s="56">
        <f t="shared" si="5"/>
        <v>0</v>
      </c>
      <c r="U14" s="54">
        <f t="shared" si="6"/>
        <v>3.1</v>
      </c>
      <c r="W14" s="54">
        <f t="shared" si="7"/>
        <v>3.5</v>
      </c>
      <c r="X14" s="55">
        <f t="shared" si="8"/>
        <v>45729</v>
      </c>
      <c r="Z14" s="54">
        <f t="shared" si="9"/>
        <v>3.5</v>
      </c>
      <c r="AA14" s="55" t="e">
        <f t="shared" si="10"/>
        <v>#N/A</v>
      </c>
      <c r="AB14" s="54" t="e">
        <f t="shared" si="11"/>
        <v>#N/A</v>
      </c>
      <c r="AC14" s="54" t="e">
        <f t="shared" si="12"/>
        <v>#N/A</v>
      </c>
      <c r="AD14" s="54" t="e">
        <f t="shared" si="13"/>
        <v>#N/A</v>
      </c>
    </row>
    <row r="15" spans="2:30" ht="29.45" customHeight="1">
      <c r="B15" s="49">
        <v>12</v>
      </c>
      <c r="C15" s="58"/>
      <c r="D15" s="58"/>
      <c r="E15" s="58"/>
      <c r="F15" s="58"/>
      <c r="G15" s="59"/>
      <c r="H15" s="58"/>
      <c r="I15" s="57">
        <f t="shared" si="0"/>
        <v>0</v>
      </c>
      <c r="J15" s="56">
        <f t="shared" si="1"/>
        <v>0</v>
      </c>
      <c r="L15" s="61">
        <f t="shared" si="2"/>
        <v>0</v>
      </c>
      <c r="M15" s="61">
        <v>1</v>
      </c>
      <c r="O15" s="60" t="str">
        <f t="shared" si="3"/>
        <v/>
      </c>
      <c r="Q15" s="59"/>
      <c r="R15" s="58"/>
      <c r="S15" s="57">
        <f t="shared" si="4"/>
        <v>0</v>
      </c>
      <c r="T15" s="56">
        <f t="shared" si="5"/>
        <v>0</v>
      </c>
      <c r="U15" s="54">
        <f t="shared" si="6"/>
        <v>2.1</v>
      </c>
      <c r="W15" s="54">
        <f t="shared" si="7"/>
        <v>2.5</v>
      </c>
      <c r="X15" s="55">
        <f t="shared" si="8"/>
        <v>45729</v>
      </c>
      <c r="Z15" s="54">
        <f t="shared" si="9"/>
        <v>2.5</v>
      </c>
      <c r="AA15" s="55" t="e">
        <f t="shared" si="10"/>
        <v>#N/A</v>
      </c>
      <c r="AB15" s="54" t="e">
        <f t="shared" si="11"/>
        <v>#N/A</v>
      </c>
      <c r="AC15" s="54" t="e">
        <f t="shared" si="12"/>
        <v>#N/A</v>
      </c>
      <c r="AD15" s="54" t="e">
        <f t="shared" si="13"/>
        <v>#N/A</v>
      </c>
    </row>
    <row r="16" spans="2:30" ht="29.45" customHeight="1">
      <c r="B16" s="49">
        <v>13</v>
      </c>
      <c r="C16" s="58"/>
      <c r="D16" s="58"/>
      <c r="E16" s="58"/>
      <c r="F16" s="58"/>
      <c r="G16" s="59"/>
      <c r="H16" s="58"/>
      <c r="I16" s="57">
        <f t="shared" si="0"/>
        <v>0</v>
      </c>
      <c r="J16" s="56">
        <f t="shared" si="1"/>
        <v>0</v>
      </c>
      <c r="L16" s="61">
        <f t="shared" si="2"/>
        <v>0</v>
      </c>
      <c r="M16" s="61">
        <v>1</v>
      </c>
      <c r="O16" s="60" t="str">
        <f t="shared" si="3"/>
        <v/>
      </c>
      <c r="Q16" s="59"/>
      <c r="R16" s="58"/>
      <c r="S16" s="57">
        <f t="shared" si="4"/>
        <v>0</v>
      </c>
      <c r="T16" s="56">
        <f t="shared" si="5"/>
        <v>0</v>
      </c>
      <c r="U16" s="54">
        <f t="shared" si="6"/>
        <v>1.1000000000000001</v>
      </c>
      <c r="W16" s="54">
        <f t="shared" si="7"/>
        <v>1.5</v>
      </c>
      <c r="X16" s="55">
        <f t="shared" si="8"/>
        <v>45729</v>
      </c>
      <c r="Z16" s="54">
        <f t="shared" si="9"/>
        <v>1.5</v>
      </c>
      <c r="AA16" s="55" t="e">
        <f t="shared" si="10"/>
        <v>#N/A</v>
      </c>
      <c r="AB16" s="54" t="e">
        <f t="shared" si="11"/>
        <v>#N/A</v>
      </c>
      <c r="AC16" s="54" t="e">
        <f t="shared" si="12"/>
        <v>#N/A</v>
      </c>
      <c r="AD16" s="54" t="e">
        <f t="shared" si="13"/>
        <v>#N/A</v>
      </c>
    </row>
    <row r="17" spans="2:39" ht="29.45" customHeight="1">
      <c r="B17" s="49">
        <v>14</v>
      </c>
      <c r="C17" s="58"/>
      <c r="D17" s="58"/>
      <c r="E17" s="58"/>
      <c r="F17" s="58"/>
      <c r="G17" s="59"/>
      <c r="H17" s="58"/>
      <c r="I17" s="57">
        <f t="shared" si="0"/>
        <v>0</v>
      </c>
      <c r="J17" s="56">
        <f t="shared" si="1"/>
        <v>0</v>
      </c>
      <c r="L17" s="61">
        <f t="shared" si="2"/>
        <v>0</v>
      </c>
      <c r="M17" s="61">
        <v>1</v>
      </c>
      <c r="O17" s="60" t="str">
        <f t="shared" si="3"/>
        <v/>
      </c>
      <c r="Q17" s="59"/>
      <c r="R17" s="58"/>
      <c r="S17" s="57">
        <f t="shared" si="4"/>
        <v>0</v>
      </c>
      <c r="T17" s="56">
        <f t="shared" si="5"/>
        <v>0</v>
      </c>
      <c r="U17" s="54">
        <v>0.1</v>
      </c>
      <c r="W17" s="54">
        <v>0.5</v>
      </c>
      <c r="X17" s="55">
        <f t="shared" si="8"/>
        <v>45729</v>
      </c>
      <c r="Z17" s="54">
        <v>0.5</v>
      </c>
      <c r="AA17" s="55" t="e">
        <f t="shared" si="10"/>
        <v>#N/A</v>
      </c>
      <c r="AB17" s="54" t="e">
        <f t="shared" si="11"/>
        <v>#N/A</v>
      </c>
      <c r="AC17" s="54" t="e">
        <f t="shared" si="12"/>
        <v>#N/A</v>
      </c>
      <c r="AD17" s="54" t="e">
        <f t="shared" si="13"/>
        <v>#N/A</v>
      </c>
    </row>
    <row r="18" spans="2:39" ht="13.25" customHeight="1"/>
    <row r="19" spans="2:39" ht="34.25" customHeight="1">
      <c r="AK19" s="51"/>
      <c r="AL19" s="49"/>
      <c r="AM19" s="49"/>
    </row>
    <row r="20" spans="2:39" ht="34.25" customHeight="1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/>
      <c r="AA20" s="53"/>
      <c r="AB20" s="53"/>
      <c r="AE20" s="52"/>
      <c r="AF20" s="52"/>
      <c r="AG20" s="52"/>
      <c r="AH20" s="52"/>
      <c r="AI20" s="52"/>
      <c r="AJ20" s="52"/>
      <c r="AK20" s="52"/>
      <c r="AL20" s="52"/>
      <c r="AM20" s="52"/>
    </row>
    <row r="21" spans="2:39" ht="34.25" customHeight="1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/>
      <c r="AA21" s="53"/>
      <c r="AB21" s="53"/>
      <c r="AE21" s="52"/>
      <c r="AF21" s="52"/>
      <c r="AG21" s="52"/>
      <c r="AH21" s="52"/>
      <c r="AI21" s="52"/>
      <c r="AJ21" s="52"/>
      <c r="AK21" s="52"/>
      <c r="AL21" s="52"/>
      <c r="AM21" s="52"/>
    </row>
    <row r="22" spans="2:39" ht="34.25" customHeight="1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E22" s="52"/>
      <c r="AF22" s="52"/>
      <c r="AG22" s="52"/>
      <c r="AH22" s="52"/>
      <c r="AI22" s="52"/>
      <c r="AJ22" s="52"/>
      <c r="AK22" s="52"/>
      <c r="AL22" s="52"/>
      <c r="AM22" s="52"/>
    </row>
    <row r="23" spans="2:39" ht="34.25" customHeight="1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/>
      <c r="AA23" s="53"/>
      <c r="AB23" s="53"/>
      <c r="AE23" s="52"/>
      <c r="AF23" s="52"/>
      <c r="AG23" s="52"/>
      <c r="AH23" s="52"/>
      <c r="AI23" s="52"/>
      <c r="AJ23" s="52"/>
      <c r="AK23" s="52"/>
      <c r="AL23" s="52"/>
      <c r="AM23" s="52"/>
    </row>
    <row r="24" spans="2:39" ht="34.25" customHeight="1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/>
      <c r="AA24" s="53"/>
      <c r="AB24" s="53"/>
      <c r="AE24" s="52"/>
      <c r="AF24" s="52"/>
      <c r="AG24" s="52"/>
      <c r="AH24" s="52"/>
      <c r="AI24" s="52"/>
      <c r="AJ24" s="52"/>
      <c r="AK24" s="52"/>
      <c r="AL24" s="52"/>
      <c r="AM24" s="52"/>
    </row>
    <row r="25" spans="2:39" ht="34.25" customHeight="1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/>
      <c r="AA25" s="53"/>
      <c r="AB25" s="53"/>
      <c r="AE25" s="52"/>
      <c r="AF25" s="52"/>
      <c r="AG25" s="52"/>
      <c r="AH25" s="52"/>
      <c r="AI25" s="52"/>
      <c r="AJ25" s="52"/>
      <c r="AK25" s="52"/>
      <c r="AL25" s="52"/>
      <c r="AM25" s="52"/>
    </row>
    <row r="26" spans="2:39" ht="34.2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/>
      <c r="AA26" s="53"/>
      <c r="AB26" s="53"/>
      <c r="AE26" s="52"/>
      <c r="AF26" s="52"/>
      <c r="AG26" s="52"/>
      <c r="AH26" s="52"/>
      <c r="AI26" s="52"/>
      <c r="AJ26" s="52"/>
      <c r="AK26" s="52"/>
      <c r="AL26" s="52"/>
      <c r="AM26" s="52"/>
    </row>
    <row r="27" spans="2:39" ht="34.25" customHeight="1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/>
      <c r="AA27" s="53"/>
      <c r="AB27" s="53"/>
      <c r="AE27" s="52"/>
      <c r="AF27" s="52"/>
      <c r="AG27" s="52"/>
      <c r="AH27" s="52"/>
      <c r="AI27" s="52"/>
      <c r="AJ27" s="52"/>
      <c r="AK27" s="52"/>
      <c r="AL27" s="52"/>
      <c r="AM27" s="52"/>
    </row>
    <row r="28" spans="2:39" ht="34.2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/>
      <c r="AA28" s="53"/>
      <c r="AB28" s="53"/>
      <c r="AE28" s="52"/>
      <c r="AF28" s="52"/>
      <c r="AG28" s="52"/>
      <c r="AH28" s="52"/>
      <c r="AI28" s="52"/>
      <c r="AJ28" s="52"/>
      <c r="AK28" s="52"/>
      <c r="AL28" s="52"/>
      <c r="AM28" s="52"/>
    </row>
    <row r="29" spans="2:39" ht="34.25" customHeigh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/>
      <c r="AA29" s="53"/>
      <c r="AB29" s="53"/>
      <c r="AE29" s="52"/>
      <c r="AF29" s="52"/>
      <c r="AG29" s="52"/>
      <c r="AH29" s="52"/>
      <c r="AI29" s="52"/>
      <c r="AJ29" s="52"/>
      <c r="AK29" s="52"/>
      <c r="AL29" s="52"/>
      <c r="AM29" s="52"/>
    </row>
    <row r="30" spans="2:39" ht="34.2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/>
      <c r="AA30" s="53"/>
      <c r="AB30" s="53"/>
      <c r="AE30" s="52"/>
      <c r="AF30" s="52"/>
      <c r="AG30" s="52"/>
      <c r="AH30" s="52"/>
      <c r="AI30" s="52"/>
      <c r="AJ30" s="52"/>
      <c r="AK30" s="52"/>
      <c r="AL30" s="52"/>
      <c r="AM30" s="52"/>
    </row>
    <row r="31" spans="2:39" ht="34.25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/>
      <c r="AA31" s="53"/>
      <c r="AB31" s="53"/>
      <c r="AE31" s="52"/>
      <c r="AF31" s="52"/>
      <c r="AG31" s="52"/>
      <c r="AH31" s="52"/>
      <c r="AI31" s="52"/>
      <c r="AJ31" s="52"/>
      <c r="AK31" s="52"/>
      <c r="AL31" s="52"/>
      <c r="AM31" s="52"/>
    </row>
    <row r="32" spans="2:39" ht="34.25" customHeight="1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/>
      <c r="AA32" s="53"/>
      <c r="AB32" s="53"/>
      <c r="AE32" s="52"/>
      <c r="AF32" s="52"/>
      <c r="AG32" s="52"/>
      <c r="AH32" s="52"/>
      <c r="AI32" s="52"/>
      <c r="AJ32" s="52"/>
      <c r="AK32" s="52"/>
      <c r="AL32" s="52"/>
      <c r="AM32" s="52"/>
    </row>
    <row r="33" spans="2:39" ht="34.25" customHeight="1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/>
      <c r="AA33" s="53"/>
      <c r="AB33" s="53"/>
      <c r="AE33" s="52"/>
      <c r="AF33" s="52"/>
      <c r="AG33" s="52"/>
      <c r="AH33" s="52"/>
      <c r="AI33" s="52"/>
      <c r="AJ33" s="52"/>
      <c r="AK33" s="52"/>
      <c r="AL33" s="52"/>
      <c r="AM33" s="52"/>
    </row>
    <row r="34" spans="2:39" ht="24.6" customHeight="1"/>
    <row r="35" spans="2:39" ht="24.6" customHeight="1"/>
    <row r="36" spans="2:39" ht="24.6" customHeight="1"/>
  </sheetData>
  <mergeCells count="1">
    <mergeCell ref="W2:X2"/>
  </mergeCells>
  <phoneticPr fontId="3" type="noConversion"/>
  <dataValidations count="1">
    <dataValidation type="list" allowBlank="1" showInputMessage="1" showErrorMessage="1" sqref="F4:F17" xr:uid="{EF40AA9E-3F40-4AE9-9CF1-0D33780FD1C1}">
      <formula1>$C$4:$C$17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4721-D281-44AA-A97E-769CE3E49FCB}">
  <sheetPr>
    <pageSetUpPr fitToPage="1"/>
  </sheetPr>
  <dimension ref="A2:Z32"/>
  <sheetViews>
    <sheetView showGridLines="0" tabSelected="1" zoomScale="70" zoomScaleNormal="70" workbookViewId="0">
      <selection activeCell="K24" sqref="K24"/>
    </sheetView>
  </sheetViews>
  <sheetFormatPr defaultColWidth="9" defaultRowHeight="16.899999999999999"/>
  <cols>
    <col min="1" max="1" width="28.6875" style="5" customWidth="1"/>
    <col min="2" max="2" width="13.1875" style="5" customWidth="1"/>
    <col min="3" max="3" width="27.625" style="5" customWidth="1"/>
    <col min="4" max="4" width="27.125" style="5" customWidth="1"/>
    <col min="5" max="5" width="11.5" style="4" customWidth="1"/>
    <col min="6" max="7" width="11.5" style="3" customWidth="1"/>
    <col min="8" max="8" width="11.5" style="4" customWidth="1"/>
    <col min="9" max="9" width="3.875" style="4" customWidth="1"/>
    <col min="10" max="13" width="11.5" style="4" customWidth="1"/>
    <col min="14" max="14" width="11.5" style="3" customWidth="1"/>
    <col min="15" max="15" width="0.125" style="5" customWidth="1"/>
    <col min="16" max="16" width="13.375" style="5" customWidth="1"/>
    <col min="17" max="23" width="0.125" style="5" customWidth="1"/>
    <col min="24" max="24" width="13.375" style="5" customWidth="1"/>
    <col min="25" max="26" width="10" style="5" customWidth="1"/>
    <col min="27" max="16384" width="9" style="5"/>
  </cols>
  <sheetData>
    <row r="2" spans="1:26" ht="20" customHeight="1" thickBot="1">
      <c r="A2" s="1" t="s">
        <v>0</v>
      </c>
      <c r="B2" s="1"/>
      <c r="C2" s="1"/>
      <c r="D2" s="2" t="s">
        <v>1</v>
      </c>
      <c r="E2" s="37" t="str">
        <f>D2&amp;" ("&amp;TEXT(E6,"m월 d일")&amp;"~"&amp;TEXT(H14,"m월 d일")&amp;") [진행률: "&amp;TEXT(N3,"0%")&amp;"]"</f>
        <v>오빠두엑셀 프로젝트 (4월 1일~5월 13일) [진행률: 74%]</v>
      </c>
    </row>
    <row r="3" spans="1:26" ht="17.45" customHeight="1" thickBot="1">
      <c r="A3" s="1" t="s">
        <v>2</v>
      </c>
      <c r="B3" s="1"/>
      <c r="C3" s="1"/>
      <c r="D3" s="6">
        <v>43946</v>
      </c>
      <c r="M3" s="7" t="s">
        <v>3</v>
      </c>
      <c r="N3" s="36">
        <f>SUMPRODUCT(N6:N14,L6:L14)/SUM(L6:L14)</f>
        <v>0.74090909090909074</v>
      </c>
      <c r="Y3" s="38" t="s">
        <v>33</v>
      </c>
      <c r="Z3" s="38" t="s">
        <v>34</v>
      </c>
    </row>
    <row r="4" spans="1:26" ht="18" customHeight="1" thickBot="1">
      <c r="E4" s="78" t="s">
        <v>4</v>
      </c>
      <c r="F4" s="78"/>
      <c r="G4" s="78"/>
      <c r="H4" s="78"/>
      <c r="J4" s="79" t="s">
        <v>5</v>
      </c>
      <c r="K4" s="79"/>
      <c r="L4" s="79"/>
      <c r="M4" s="79"/>
      <c r="N4" s="79"/>
      <c r="O4" s="79"/>
      <c r="Y4" s="39">
        <f>MIN(E6:E31,J6:J31)-2</f>
        <v>43920</v>
      </c>
      <c r="Z4" s="39">
        <f>MAX(M6:M31,H6:H31)+10</f>
        <v>43986</v>
      </c>
    </row>
    <row r="5" spans="1:26" s="17" customFormat="1" ht="17.25" thickBot="1">
      <c r="A5" s="8" t="s">
        <v>6</v>
      </c>
      <c r="B5" s="8" t="s">
        <v>40</v>
      </c>
      <c r="C5" s="8" t="s">
        <v>41</v>
      </c>
      <c r="D5" s="9" t="s">
        <v>42</v>
      </c>
      <c r="E5" s="10" t="s">
        <v>7</v>
      </c>
      <c r="F5" s="10" t="s">
        <v>8</v>
      </c>
      <c r="G5" s="10" t="s">
        <v>9</v>
      </c>
      <c r="H5" s="11" t="s">
        <v>10</v>
      </c>
      <c r="I5" s="40"/>
      <c r="J5" s="11" t="s">
        <v>7</v>
      </c>
      <c r="K5" s="12" t="s">
        <v>8</v>
      </c>
      <c r="L5" s="12" t="s">
        <v>9</v>
      </c>
      <c r="M5" s="12" t="s">
        <v>10</v>
      </c>
      <c r="N5" s="10" t="s">
        <v>11</v>
      </c>
      <c r="O5" s="13" t="s">
        <v>12</v>
      </c>
      <c r="P5" s="14"/>
      <c r="Q5" s="15" t="s">
        <v>13</v>
      </c>
      <c r="R5" s="15" t="str">
        <f>"오늘 ("&amp;TEXT(R6,"m월 d일")&amp;")"</f>
        <v>오늘 (4월 25일)</v>
      </c>
      <c r="S5" s="14" t="s">
        <v>14</v>
      </c>
      <c r="T5" s="14" t="s">
        <v>15</v>
      </c>
      <c r="U5" s="14" t="s">
        <v>16</v>
      </c>
      <c r="V5" s="16" t="s">
        <v>17</v>
      </c>
      <c r="W5" s="16" t="s">
        <v>57</v>
      </c>
    </row>
    <row r="6" spans="1:26">
      <c r="A6" s="18" t="s">
        <v>18</v>
      </c>
      <c r="B6" s="18" t="s">
        <v>45</v>
      </c>
      <c r="C6" s="18" t="s">
        <v>47</v>
      </c>
      <c r="D6" s="19" t="s">
        <v>19</v>
      </c>
      <c r="E6" s="43">
        <v>43922</v>
      </c>
      <c r="F6" s="44">
        <v>2</v>
      </c>
      <c r="G6" s="32">
        <f>H6-E6</f>
        <v>2</v>
      </c>
      <c r="H6" s="33">
        <f>WORKDAY.INTL(E6,F6,1)</f>
        <v>43924</v>
      </c>
      <c r="I6" s="41"/>
      <c r="J6" s="20">
        <v>43922</v>
      </c>
      <c r="K6" s="21">
        <v>1</v>
      </c>
      <c r="L6" s="32">
        <f>M6-J6</f>
        <v>1</v>
      </c>
      <c r="M6" s="33">
        <f>WORKDAY.INTL(J6,K6,1)</f>
        <v>43923</v>
      </c>
      <c r="N6" s="22">
        <v>1</v>
      </c>
      <c r="O6" s="23">
        <f>L6*N6</f>
        <v>1</v>
      </c>
      <c r="Q6" s="5">
        <f t="shared" ref="Q6:Q15" si="0">IF(A6="",NA(),19.1-ROW()+6)</f>
        <v>19.100000000000001</v>
      </c>
      <c r="R6" s="24">
        <f>D3</f>
        <v>43946</v>
      </c>
      <c r="S6" s="5">
        <f t="shared" ref="S6:S30" si="1">IF(A6="",NA(),19.5-ROW()+6)</f>
        <v>19.5</v>
      </c>
      <c r="T6" s="25">
        <f>VLOOKUP(D6,$A$6:$M$31,13,0)</f>
        <v>43923</v>
      </c>
      <c r="U6" s="5">
        <f>VLOOKUP(D6,$A$6:$Q$31,17,0)-Q6</f>
        <v>0</v>
      </c>
      <c r="V6" s="5">
        <f t="shared" ref="V6:V31" si="2">IF(A6=D6,0,T6-J6-0.1)</f>
        <v>0</v>
      </c>
      <c r="W6" s="47" t="str">
        <f>IF(B6="",C6,C6&amp;" ["&amp;B6&amp;"]")</f>
        <v>동종업계 리스트 [최서진MG]</v>
      </c>
    </row>
    <row r="7" spans="1:26">
      <c r="A7" s="26" t="s">
        <v>20</v>
      </c>
      <c r="B7" s="26" t="s">
        <v>45</v>
      </c>
      <c r="C7" s="26" t="s">
        <v>48</v>
      </c>
      <c r="D7" s="27" t="s">
        <v>19</v>
      </c>
      <c r="E7" s="45">
        <v>43924</v>
      </c>
      <c r="F7" s="46">
        <v>2</v>
      </c>
      <c r="G7" s="34">
        <f t="shared" ref="G7:G15" si="3">H7-E7</f>
        <v>4</v>
      </c>
      <c r="H7" s="35">
        <f t="shared" ref="H7:H15" si="4">WORKDAY.INTL(E7,F7,1)</f>
        <v>43928</v>
      </c>
      <c r="I7" s="42"/>
      <c r="J7" s="28">
        <v>43924</v>
      </c>
      <c r="K7" s="29">
        <v>2</v>
      </c>
      <c r="L7" s="34">
        <f t="shared" ref="L7:L14" si="5">M7-J7</f>
        <v>4</v>
      </c>
      <c r="M7" s="35">
        <f t="shared" ref="M7:M14" si="6">WORKDAY.INTL(J7,K7,1)</f>
        <v>43928</v>
      </c>
      <c r="N7" s="30">
        <v>1</v>
      </c>
      <c r="O7" s="31">
        <f t="shared" ref="O7:O31" si="7">L7*N7</f>
        <v>4</v>
      </c>
      <c r="Q7" s="5">
        <f t="shared" si="0"/>
        <v>18.100000000000001</v>
      </c>
      <c r="R7" s="24">
        <f>R6</f>
        <v>43946</v>
      </c>
      <c r="S7" s="5">
        <f t="shared" si="1"/>
        <v>18.5</v>
      </c>
      <c r="T7" s="25">
        <f>VLOOKUP(D7,$A$6:$M$31,13,0)</f>
        <v>43923</v>
      </c>
      <c r="U7" s="5">
        <f>VLOOKUP(D7,$A$6:$Q$31,17,0)-Q7</f>
        <v>1</v>
      </c>
      <c r="V7" s="5">
        <f t="shared" si="2"/>
        <v>-1.1000000000000001</v>
      </c>
      <c r="W7" s="47" t="str">
        <f t="shared" ref="W7:W31" si="8">IF(B7="",C7,C7&amp;" ["&amp;B7&amp;"]")</f>
        <v>상하위 20% 목록 [최서진MG]</v>
      </c>
    </row>
    <row r="8" spans="1:26">
      <c r="A8" s="18" t="s">
        <v>22</v>
      </c>
      <c r="B8" s="18" t="s">
        <v>45</v>
      </c>
      <c r="C8" s="18" t="s">
        <v>49</v>
      </c>
      <c r="D8" s="19" t="s">
        <v>21</v>
      </c>
      <c r="E8" s="43">
        <v>43928</v>
      </c>
      <c r="F8" s="44">
        <v>6</v>
      </c>
      <c r="G8" s="32">
        <f t="shared" si="3"/>
        <v>8</v>
      </c>
      <c r="H8" s="33">
        <f t="shared" si="4"/>
        <v>43936</v>
      </c>
      <c r="I8" s="41"/>
      <c r="J8" s="20">
        <v>43929</v>
      </c>
      <c r="K8" s="21">
        <v>5</v>
      </c>
      <c r="L8" s="32">
        <f t="shared" si="5"/>
        <v>7</v>
      </c>
      <c r="M8" s="33">
        <f t="shared" si="6"/>
        <v>43936</v>
      </c>
      <c r="N8" s="22">
        <v>1</v>
      </c>
      <c r="O8" s="23">
        <f t="shared" si="7"/>
        <v>7</v>
      </c>
      <c r="Q8" s="5">
        <f t="shared" si="0"/>
        <v>17.100000000000001</v>
      </c>
      <c r="R8" s="24">
        <f t="shared" ref="R8:R11" si="9">R7</f>
        <v>43946</v>
      </c>
      <c r="S8" s="5">
        <f t="shared" si="1"/>
        <v>17.5</v>
      </c>
      <c r="T8" s="25">
        <f>VLOOKUP(D8,$A$6:$M$31,13,0)</f>
        <v>43928</v>
      </c>
      <c r="U8" s="5">
        <f>VLOOKUP(D8,$A$6:$Q$31,17,0)-Q8</f>
        <v>1</v>
      </c>
      <c r="V8" s="5">
        <f t="shared" si="2"/>
        <v>-1.1000000000000001</v>
      </c>
      <c r="W8" s="47" t="str">
        <f t="shared" si="8"/>
        <v>업체별 성공/실패 보고서 [최서진MG]</v>
      </c>
    </row>
    <row r="9" spans="1:26">
      <c r="A9" s="26" t="s">
        <v>23</v>
      </c>
      <c r="B9" s="26" t="s">
        <v>46</v>
      </c>
      <c r="C9" s="26" t="s">
        <v>51</v>
      </c>
      <c r="D9" s="27" t="s">
        <v>32</v>
      </c>
      <c r="E9" s="45">
        <v>43936</v>
      </c>
      <c r="F9" s="46">
        <v>8</v>
      </c>
      <c r="G9" s="34">
        <f t="shared" si="3"/>
        <v>12</v>
      </c>
      <c r="H9" s="35">
        <f t="shared" si="4"/>
        <v>43948</v>
      </c>
      <c r="I9" s="42"/>
      <c r="J9" s="28">
        <v>43937</v>
      </c>
      <c r="K9" s="29">
        <v>6</v>
      </c>
      <c r="L9" s="34">
        <f t="shared" si="5"/>
        <v>8</v>
      </c>
      <c r="M9" s="35">
        <f t="shared" si="6"/>
        <v>43945</v>
      </c>
      <c r="N9" s="30">
        <v>0.8</v>
      </c>
      <c r="O9" s="31">
        <f t="shared" si="7"/>
        <v>6.4</v>
      </c>
      <c r="Q9" s="5">
        <f t="shared" si="0"/>
        <v>16.100000000000001</v>
      </c>
      <c r="R9" s="24">
        <f t="shared" si="9"/>
        <v>43946</v>
      </c>
      <c r="S9" s="5">
        <f t="shared" si="1"/>
        <v>16.5</v>
      </c>
      <c r="T9" s="25">
        <f>VLOOKUP(D9,$A$6:$M$31,13,0)</f>
        <v>43936</v>
      </c>
      <c r="U9" s="5">
        <f>VLOOKUP(D9,$A$6:$Q$31,17,0)-Q9</f>
        <v>1</v>
      </c>
      <c r="V9" s="5">
        <f t="shared" si="2"/>
        <v>-1.1000000000000001</v>
      </c>
      <c r="W9" s="47" t="str">
        <f t="shared" si="8"/>
        <v>성장 원동력 분석 보고서 [최예나MG]</v>
      </c>
    </row>
    <row r="10" spans="1:26">
      <c r="A10" s="18" t="s">
        <v>24</v>
      </c>
      <c r="B10" s="18" t="s">
        <v>46</v>
      </c>
      <c r="C10" s="18" t="s">
        <v>50</v>
      </c>
      <c r="D10" s="19" t="s">
        <v>32</v>
      </c>
      <c r="E10" s="43">
        <v>43936</v>
      </c>
      <c r="F10" s="44">
        <v>8</v>
      </c>
      <c r="G10" s="32">
        <f t="shared" si="3"/>
        <v>12</v>
      </c>
      <c r="H10" s="33">
        <f t="shared" si="4"/>
        <v>43948</v>
      </c>
      <c r="I10" s="41"/>
      <c r="J10" s="20">
        <v>43937</v>
      </c>
      <c r="K10" s="21">
        <v>6</v>
      </c>
      <c r="L10" s="32">
        <f t="shared" si="5"/>
        <v>8</v>
      </c>
      <c r="M10" s="33">
        <f t="shared" si="6"/>
        <v>43945</v>
      </c>
      <c r="N10" s="22">
        <v>0.8</v>
      </c>
      <c r="O10" s="23">
        <f t="shared" si="7"/>
        <v>6.4</v>
      </c>
      <c r="Q10" s="5">
        <f t="shared" si="0"/>
        <v>15.100000000000001</v>
      </c>
      <c r="R10" s="24">
        <f t="shared" si="9"/>
        <v>43946</v>
      </c>
      <c r="S10" s="5">
        <f t="shared" si="1"/>
        <v>15.5</v>
      </c>
      <c r="T10" s="25">
        <f>VLOOKUP(D10,$A$6:$M$31,13,0)</f>
        <v>43936</v>
      </c>
      <c r="U10" s="5">
        <f>VLOOKUP(D10,$A$6:$Q$31,17,0)-Q10</f>
        <v>2</v>
      </c>
      <c r="V10" s="5">
        <f t="shared" si="2"/>
        <v>-1.1000000000000001</v>
      </c>
      <c r="W10" s="47" t="str">
        <f t="shared" si="8"/>
        <v>실패 후 극복사례 목록 [최예나MG]</v>
      </c>
    </row>
    <row r="11" spans="1:26">
      <c r="A11" s="26" t="s">
        <v>25</v>
      </c>
      <c r="B11" s="26" t="s">
        <v>46</v>
      </c>
      <c r="C11" s="26" t="s">
        <v>52</v>
      </c>
      <c r="D11" s="27" t="s">
        <v>26</v>
      </c>
      <c r="E11" s="45">
        <v>43948</v>
      </c>
      <c r="F11" s="46">
        <v>4</v>
      </c>
      <c r="G11" s="34">
        <f t="shared" si="3"/>
        <v>4</v>
      </c>
      <c r="H11" s="35">
        <f t="shared" si="4"/>
        <v>43952</v>
      </c>
      <c r="I11" s="42"/>
      <c r="J11" s="28">
        <v>43942</v>
      </c>
      <c r="K11" s="29">
        <v>4</v>
      </c>
      <c r="L11" s="34">
        <f t="shared" si="5"/>
        <v>6</v>
      </c>
      <c r="M11" s="35">
        <f t="shared" si="6"/>
        <v>43948</v>
      </c>
      <c r="N11" s="30">
        <v>0.5</v>
      </c>
      <c r="O11" s="31">
        <f t="shared" si="7"/>
        <v>3</v>
      </c>
      <c r="Q11" s="5">
        <f t="shared" si="0"/>
        <v>14.100000000000001</v>
      </c>
      <c r="R11" s="24">
        <f t="shared" si="9"/>
        <v>43946</v>
      </c>
      <c r="S11" s="5">
        <f t="shared" si="1"/>
        <v>14.5</v>
      </c>
      <c r="T11" s="25">
        <f>VLOOKUP(D11,$A$6:$M$31,13,0)</f>
        <v>43948</v>
      </c>
      <c r="U11" s="5">
        <f>VLOOKUP(D11,$A$6:$Q$31,17,0)-Q11</f>
        <v>0</v>
      </c>
      <c r="V11" s="5">
        <f t="shared" si="2"/>
        <v>0</v>
      </c>
      <c r="W11" s="47" t="str">
        <f t="shared" si="8"/>
        <v>업체별 YoY 성장률 보고서 [최예나MG]</v>
      </c>
    </row>
    <row r="12" spans="1:26">
      <c r="A12" s="18" t="s">
        <v>27</v>
      </c>
      <c r="B12" s="18" t="s">
        <v>45</v>
      </c>
      <c r="C12" s="18" t="s">
        <v>53</v>
      </c>
      <c r="D12" s="19" t="s">
        <v>28</v>
      </c>
      <c r="E12" s="43">
        <v>43952</v>
      </c>
      <c r="F12" s="44">
        <v>3</v>
      </c>
      <c r="G12" s="32">
        <f t="shared" si="3"/>
        <v>5</v>
      </c>
      <c r="H12" s="33">
        <f t="shared" si="4"/>
        <v>43957</v>
      </c>
      <c r="I12" s="41"/>
      <c r="J12" s="20">
        <v>43948</v>
      </c>
      <c r="K12" s="21">
        <v>3</v>
      </c>
      <c r="L12" s="32">
        <f t="shared" si="5"/>
        <v>3</v>
      </c>
      <c r="M12" s="33">
        <f t="shared" si="6"/>
        <v>43951</v>
      </c>
      <c r="N12" s="22">
        <v>1</v>
      </c>
      <c r="O12" s="23">
        <f t="shared" si="7"/>
        <v>3</v>
      </c>
      <c r="Q12" s="5">
        <f t="shared" si="0"/>
        <v>13.100000000000001</v>
      </c>
      <c r="R12" s="24">
        <f>R11</f>
        <v>43946</v>
      </c>
      <c r="S12" s="5">
        <f t="shared" si="1"/>
        <v>13.5</v>
      </c>
      <c r="T12" s="25">
        <f>VLOOKUP(D12,$A$6:$M$31,13,0)</f>
        <v>43945</v>
      </c>
      <c r="U12" s="5">
        <f>VLOOKUP(D12,$A$6:$Q$31,17,0)-Q12</f>
        <v>2</v>
      </c>
      <c r="V12" s="5">
        <f t="shared" si="2"/>
        <v>-3.1</v>
      </c>
      <c r="W12" s="47" t="str">
        <f t="shared" si="8"/>
        <v>업체 미래 수료 예측 보고서 [최서진MG]</v>
      </c>
    </row>
    <row r="13" spans="1:26">
      <c r="A13" s="26" t="s">
        <v>29</v>
      </c>
      <c r="B13" s="26" t="s">
        <v>43</v>
      </c>
      <c r="C13" s="26" t="s">
        <v>54</v>
      </c>
      <c r="D13" s="27" t="s">
        <v>30</v>
      </c>
      <c r="E13" s="45">
        <v>43957</v>
      </c>
      <c r="F13" s="46">
        <v>4</v>
      </c>
      <c r="G13" s="34">
        <f t="shared" si="3"/>
        <v>6</v>
      </c>
      <c r="H13" s="35">
        <f t="shared" si="4"/>
        <v>43963</v>
      </c>
      <c r="I13" s="42"/>
      <c r="J13" s="28">
        <v>43951</v>
      </c>
      <c r="K13" s="29">
        <v>4</v>
      </c>
      <c r="L13" s="34">
        <f t="shared" si="5"/>
        <v>6</v>
      </c>
      <c r="M13" s="35">
        <f t="shared" si="6"/>
        <v>43957</v>
      </c>
      <c r="N13" s="30">
        <v>0.3</v>
      </c>
      <c r="O13" s="31">
        <f t="shared" si="7"/>
        <v>1.7999999999999998</v>
      </c>
      <c r="Q13" s="5">
        <f t="shared" si="0"/>
        <v>12.100000000000001</v>
      </c>
      <c r="R13" s="24">
        <f>R12</f>
        <v>43946</v>
      </c>
      <c r="S13" s="5">
        <f t="shared" si="1"/>
        <v>12.5</v>
      </c>
      <c r="T13" s="25">
        <f>VLOOKUP(D13,$A$6:$M$31,13,0)</f>
        <v>43951</v>
      </c>
      <c r="U13" s="5">
        <f>VLOOKUP(D13,$A$6:$Q$31,17,0)-Q13</f>
        <v>1</v>
      </c>
      <c r="V13" s="5">
        <f t="shared" si="2"/>
        <v>-0.1</v>
      </c>
      <c r="W13" s="47" t="str">
        <f t="shared" si="8"/>
        <v>주간회의 보고서 초안 [박승우TL]</v>
      </c>
    </row>
    <row r="14" spans="1:26">
      <c r="A14" s="18" t="s">
        <v>36</v>
      </c>
      <c r="B14" s="18" t="s">
        <v>43</v>
      </c>
      <c r="C14" s="18" t="s">
        <v>55</v>
      </c>
      <c r="D14" s="19" t="s">
        <v>31</v>
      </c>
      <c r="E14" s="43">
        <v>43963</v>
      </c>
      <c r="F14" s="44">
        <v>1</v>
      </c>
      <c r="G14" s="32">
        <f t="shared" si="3"/>
        <v>1</v>
      </c>
      <c r="H14" s="33">
        <f t="shared" si="4"/>
        <v>43964</v>
      </c>
      <c r="I14" s="41"/>
      <c r="J14" s="20">
        <v>43957</v>
      </c>
      <c r="K14" s="21">
        <v>1</v>
      </c>
      <c r="L14" s="32">
        <f t="shared" si="5"/>
        <v>1</v>
      </c>
      <c r="M14" s="33">
        <f t="shared" si="6"/>
        <v>43958</v>
      </c>
      <c r="N14" s="22">
        <v>0</v>
      </c>
      <c r="O14" s="23">
        <f t="shared" si="7"/>
        <v>0</v>
      </c>
      <c r="Q14" s="5">
        <f t="shared" si="0"/>
        <v>11.100000000000001</v>
      </c>
      <c r="R14" s="24">
        <f>R13</f>
        <v>43946</v>
      </c>
      <c r="S14" s="5">
        <f t="shared" si="1"/>
        <v>11.5</v>
      </c>
      <c r="T14" s="25">
        <f>VLOOKUP(D14,$A$6:$M$31,13,0)</f>
        <v>43957</v>
      </c>
      <c r="U14" s="5">
        <f>VLOOKUP(D14,$A$6:$Q$31,17,0)-Q14</f>
        <v>1</v>
      </c>
      <c r="V14" s="5">
        <f t="shared" si="2"/>
        <v>-0.1</v>
      </c>
      <c r="W14" s="47" t="str">
        <f t="shared" si="8"/>
        <v>이사회 발표여부 결정 [박승우TL]</v>
      </c>
    </row>
    <row r="15" spans="1:26">
      <c r="A15" s="26" t="s">
        <v>38</v>
      </c>
      <c r="B15" s="26" t="s">
        <v>44</v>
      </c>
      <c r="C15" s="26" t="s">
        <v>56</v>
      </c>
      <c r="D15" s="27" t="s">
        <v>35</v>
      </c>
      <c r="E15" s="45">
        <v>43964</v>
      </c>
      <c r="F15" s="46">
        <v>7</v>
      </c>
      <c r="G15" s="34">
        <f t="shared" si="3"/>
        <v>9</v>
      </c>
      <c r="H15" s="35">
        <f t="shared" si="4"/>
        <v>43973</v>
      </c>
      <c r="I15" s="42"/>
      <c r="J15" s="28">
        <v>43959</v>
      </c>
      <c r="K15" s="29">
        <v>10</v>
      </c>
      <c r="L15" s="34">
        <f t="shared" ref="L15:L31" si="10">M15-J15</f>
        <v>14</v>
      </c>
      <c r="M15" s="35">
        <f t="shared" ref="M15:M31" si="11">WORKDAY.INTL(J15,K15,1)</f>
        <v>43973</v>
      </c>
      <c r="N15" s="30">
        <v>0</v>
      </c>
      <c r="O15" s="31">
        <f t="shared" si="7"/>
        <v>0</v>
      </c>
      <c r="Q15" s="5">
        <f t="shared" si="0"/>
        <v>10.100000000000001</v>
      </c>
      <c r="R15" s="24">
        <f t="shared" ref="R15:R31" si="12">R14</f>
        <v>43946</v>
      </c>
      <c r="S15" s="5">
        <f t="shared" si="1"/>
        <v>10.5</v>
      </c>
      <c r="T15" s="25">
        <f>VLOOKUP(D15,$A$6:$M$31,13,0)</f>
        <v>43958</v>
      </c>
      <c r="U15" s="5">
        <f>VLOOKUP(D15,$A$6:$Q$31,17,0)-Q15</f>
        <v>1</v>
      </c>
      <c r="V15" s="5">
        <f t="shared" si="2"/>
        <v>-1.1000000000000001</v>
      </c>
      <c r="W15" s="47" t="str">
        <f t="shared" si="8"/>
        <v>이사회 발표 보고서 [최서진DR]</v>
      </c>
    </row>
    <row r="16" spans="1:26">
      <c r="A16" s="18" t="s">
        <v>39</v>
      </c>
      <c r="B16" s="18" t="s">
        <v>44</v>
      </c>
      <c r="C16" s="18" t="s">
        <v>58</v>
      </c>
      <c r="D16" s="19" t="s">
        <v>37</v>
      </c>
      <c r="E16" s="43">
        <v>43974</v>
      </c>
      <c r="F16" s="44">
        <v>1</v>
      </c>
      <c r="G16" s="32">
        <f t="shared" ref="G16:G31" si="13">H16-E16</f>
        <v>2</v>
      </c>
      <c r="H16" s="33">
        <f t="shared" ref="H16:H31" si="14">WORKDAY.INTL(E16,F16,1)</f>
        <v>43976</v>
      </c>
      <c r="I16" s="41"/>
      <c r="J16" s="20">
        <v>43974</v>
      </c>
      <c r="K16" s="21">
        <v>1</v>
      </c>
      <c r="L16" s="32">
        <f t="shared" si="10"/>
        <v>2</v>
      </c>
      <c r="M16" s="33">
        <f t="shared" si="11"/>
        <v>43976</v>
      </c>
      <c r="N16" s="22">
        <v>0</v>
      </c>
      <c r="O16" s="23">
        <f t="shared" si="7"/>
        <v>0</v>
      </c>
      <c r="Q16" s="5">
        <f t="shared" ref="Q16:Q30" si="15">IF(A16="",NA(),19.1-ROW()+6)</f>
        <v>9.1000000000000014</v>
      </c>
      <c r="R16" s="24">
        <f t="shared" si="12"/>
        <v>43946</v>
      </c>
      <c r="S16" s="5">
        <f t="shared" si="1"/>
        <v>9.5</v>
      </c>
      <c r="T16" s="25">
        <f>VLOOKUP(D16,$A$6:$M$31,13,0)</f>
        <v>43973</v>
      </c>
      <c r="U16" s="5">
        <f>VLOOKUP(D16,$A$6:$Q$31,17,0)-Q16</f>
        <v>1</v>
      </c>
      <c r="V16" s="5">
        <f t="shared" si="2"/>
        <v>-1.1000000000000001</v>
      </c>
      <c r="W16" s="47" t="str">
        <f t="shared" si="8"/>
        <v>프로젝트 진행 [최서진DR]</v>
      </c>
    </row>
    <row r="17" spans="1:23">
      <c r="A17" s="26"/>
      <c r="B17" s="26"/>
      <c r="C17" s="26"/>
      <c r="D17" s="27"/>
      <c r="E17" s="45"/>
      <c r="F17" s="46"/>
      <c r="G17" s="34">
        <f t="shared" si="13"/>
        <v>0</v>
      </c>
      <c r="H17" s="35">
        <f t="shared" si="14"/>
        <v>0</v>
      </c>
      <c r="I17" s="42"/>
      <c r="J17" s="28"/>
      <c r="K17" s="29"/>
      <c r="L17" s="34">
        <f t="shared" si="10"/>
        <v>0</v>
      </c>
      <c r="M17" s="35">
        <f t="shared" si="11"/>
        <v>0</v>
      </c>
      <c r="N17" s="30"/>
      <c r="O17" s="31">
        <f t="shared" si="7"/>
        <v>0</v>
      </c>
      <c r="Q17" s="5" t="e">
        <f t="shared" si="15"/>
        <v>#N/A</v>
      </c>
      <c r="R17" s="24">
        <f t="shared" si="12"/>
        <v>43946</v>
      </c>
      <c r="S17" s="5" t="e">
        <f t="shared" si="1"/>
        <v>#N/A</v>
      </c>
      <c r="T17" s="25" t="e">
        <f>VLOOKUP(D17,$A$6:$M$31,13,0)</f>
        <v>#N/A</v>
      </c>
      <c r="U17" s="5" t="e">
        <f>VLOOKUP(D17,$A$6:$Q$31,17,0)-Q17</f>
        <v>#N/A</v>
      </c>
      <c r="V17" s="5">
        <f t="shared" si="2"/>
        <v>0</v>
      </c>
      <c r="W17" s="47">
        <f t="shared" si="8"/>
        <v>0</v>
      </c>
    </row>
    <row r="18" spans="1:23">
      <c r="A18" s="18"/>
      <c r="B18" s="18"/>
      <c r="C18" s="18"/>
      <c r="D18" s="19"/>
      <c r="E18" s="43"/>
      <c r="F18" s="44"/>
      <c r="G18" s="32">
        <f t="shared" si="13"/>
        <v>0</v>
      </c>
      <c r="H18" s="33">
        <f t="shared" si="14"/>
        <v>0</v>
      </c>
      <c r="I18" s="41"/>
      <c r="J18" s="20"/>
      <c r="K18" s="21"/>
      <c r="L18" s="32">
        <f t="shared" si="10"/>
        <v>0</v>
      </c>
      <c r="M18" s="33">
        <f t="shared" si="11"/>
        <v>0</v>
      </c>
      <c r="N18" s="22"/>
      <c r="O18" s="23">
        <f t="shared" si="7"/>
        <v>0</v>
      </c>
      <c r="Q18" s="5" t="e">
        <f t="shared" si="15"/>
        <v>#N/A</v>
      </c>
      <c r="R18" s="24">
        <f t="shared" si="12"/>
        <v>43946</v>
      </c>
      <c r="S18" s="5" t="e">
        <f t="shared" si="1"/>
        <v>#N/A</v>
      </c>
      <c r="T18" s="25" t="e">
        <f>VLOOKUP(D18,$A$6:$M$31,13,0)</f>
        <v>#N/A</v>
      </c>
      <c r="U18" s="5" t="e">
        <f>VLOOKUP(D18,$A$6:$Q$31,17,0)-Q18</f>
        <v>#N/A</v>
      </c>
      <c r="V18" s="5">
        <f t="shared" si="2"/>
        <v>0</v>
      </c>
      <c r="W18" s="47">
        <f t="shared" si="8"/>
        <v>0</v>
      </c>
    </row>
    <row r="19" spans="1:23">
      <c r="A19" s="26"/>
      <c r="B19" s="26"/>
      <c r="C19" s="26"/>
      <c r="D19" s="27"/>
      <c r="E19" s="45"/>
      <c r="F19" s="46"/>
      <c r="G19" s="34">
        <f t="shared" ref="G19:G20" si="16">H19-E19</f>
        <v>0</v>
      </c>
      <c r="H19" s="35">
        <f t="shared" ref="H19:H20" si="17">WORKDAY.INTL(E19,F19,1)</f>
        <v>0</v>
      </c>
      <c r="I19" s="42"/>
      <c r="J19" s="28"/>
      <c r="K19" s="29"/>
      <c r="L19" s="34">
        <f t="shared" ref="L19:L20" si="18">M19-J19</f>
        <v>0</v>
      </c>
      <c r="M19" s="35">
        <f t="shared" ref="M19:M20" si="19">WORKDAY.INTL(J19,K19,1)</f>
        <v>0</v>
      </c>
      <c r="N19" s="30"/>
      <c r="O19" s="31">
        <f t="shared" ref="O19:O20" si="20">L19*N19</f>
        <v>0</v>
      </c>
      <c r="Q19" s="5" t="e">
        <f t="shared" ref="Q19:Q20" si="21">IF(A19="",NA(),19.1-ROW()+6)</f>
        <v>#N/A</v>
      </c>
      <c r="R19" s="24">
        <f t="shared" si="12"/>
        <v>43946</v>
      </c>
      <c r="S19" s="5" t="e">
        <f t="shared" ref="S19:S20" si="22">IF(A19="",NA(),19.5-ROW()+6)</f>
        <v>#N/A</v>
      </c>
      <c r="T19" s="25" t="e">
        <f>VLOOKUP(D19,$A$6:$M$31,13,0)</f>
        <v>#N/A</v>
      </c>
      <c r="U19" s="5" t="e">
        <f>VLOOKUP(D19,$A$6:$Q$31,17,0)-Q19</f>
        <v>#N/A</v>
      </c>
      <c r="V19" s="5">
        <f t="shared" ref="V19:V20" si="23">IF(A19=D19,0,T19-J19-0.1)</f>
        <v>0</v>
      </c>
      <c r="W19" s="47">
        <f t="shared" ref="W19:W20" si="24">IF(B19="",C19,C19&amp;" ["&amp;B19&amp;"]")</f>
        <v>0</v>
      </c>
    </row>
    <row r="20" spans="1:23">
      <c r="A20" s="18"/>
      <c r="B20" s="18"/>
      <c r="C20" s="18"/>
      <c r="D20" s="19"/>
      <c r="E20" s="43"/>
      <c r="F20" s="44"/>
      <c r="G20" s="32">
        <f t="shared" si="16"/>
        <v>0</v>
      </c>
      <c r="H20" s="33">
        <f t="shared" si="17"/>
        <v>0</v>
      </c>
      <c r="I20" s="41"/>
      <c r="J20" s="20"/>
      <c r="K20" s="21"/>
      <c r="L20" s="32">
        <f t="shared" si="18"/>
        <v>0</v>
      </c>
      <c r="M20" s="33">
        <f t="shared" si="19"/>
        <v>0</v>
      </c>
      <c r="N20" s="22"/>
      <c r="O20" s="23">
        <f t="shared" si="20"/>
        <v>0</v>
      </c>
      <c r="Q20" s="5" t="e">
        <f t="shared" si="21"/>
        <v>#N/A</v>
      </c>
      <c r="R20" s="24">
        <f t="shared" si="12"/>
        <v>43946</v>
      </c>
      <c r="S20" s="5" t="e">
        <f t="shared" si="22"/>
        <v>#N/A</v>
      </c>
      <c r="T20" s="25" t="e">
        <f>VLOOKUP(D20,$A$6:$M$31,13,0)</f>
        <v>#N/A</v>
      </c>
      <c r="U20" s="5" t="e">
        <f>VLOOKUP(D20,$A$6:$Q$31,17,0)-Q20</f>
        <v>#N/A</v>
      </c>
      <c r="V20" s="5">
        <f t="shared" si="23"/>
        <v>0</v>
      </c>
      <c r="W20" s="47">
        <f t="shared" si="24"/>
        <v>0</v>
      </c>
    </row>
    <row r="21" spans="1:23">
      <c r="A21" s="26"/>
      <c r="B21" s="26"/>
      <c r="C21" s="26"/>
      <c r="D21" s="27"/>
      <c r="E21" s="45"/>
      <c r="F21" s="46"/>
      <c r="G21" s="34">
        <f t="shared" ref="G21:G22" si="25">H21-E21</f>
        <v>0</v>
      </c>
      <c r="H21" s="35">
        <f t="shared" ref="H21:H22" si="26">WORKDAY.INTL(E21,F21,1)</f>
        <v>0</v>
      </c>
      <c r="I21" s="42"/>
      <c r="J21" s="28"/>
      <c r="K21" s="29"/>
      <c r="L21" s="34">
        <f t="shared" ref="L21:L22" si="27">M21-J21</f>
        <v>0</v>
      </c>
      <c r="M21" s="35">
        <f t="shared" ref="M21:M22" si="28">WORKDAY.INTL(J21,K21,1)</f>
        <v>0</v>
      </c>
      <c r="N21" s="30"/>
      <c r="O21" s="31">
        <f t="shared" ref="O21:O22" si="29">L21*N21</f>
        <v>0</v>
      </c>
      <c r="Q21" s="5" t="e">
        <f t="shared" ref="Q21:Q22" si="30">IF(A21="",NA(),19.1-ROW()+6)</f>
        <v>#N/A</v>
      </c>
      <c r="R21" s="24">
        <f>R18</f>
        <v>43946</v>
      </c>
      <c r="S21" s="5" t="e">
        <f t="shared" ref="S21:S22" si="31">IF(A21="",NA(),19.5-ROW()+6)</f>
        <v>#N/A</v>
      </c>
      <c r="T21" s="25" t="e">
        <f>VLOOKUP(D21,$A$6:$M$31,13,0)</f>
        <v>#N/A</v>
      </c>
      <c r="U21" s="5" t="e">
        <f>VLOOKUP(D21,$A$6:$Q$31,17,0)-Q21</f>
        <v>#N/A</v>
      </c>
      <c r="V21" s="5">
        <f t="shared" ref="V21:V22" si="32">IF(A21=D21,0,T21-J21-0.1)</f>
        <v>0</v>
      </c>
      <c r="W21" s="47">
        <f t="shared" ref="W21:W22" si="33">IF(B21="",C21,C21&amp;" ["&amp;B21&amp;"]")</f>
        <v>0</v>
      </c>
    </row>
    <row r="22" spans="1:23">
      <c r="A22" s="18"/>
      <c r="B22" s="18"/>
      <c r="C22" s="18"/>
      <c r="D22" s="19"/>
      <c r="E22" s="43"/>
      <c r="F22" s="44"/>
      <c r="G22" s="32">
        <f t="shared" si="25"/>
        <v>0</v>
      </c>
      <c r="H22" s="33">
        <f t="shared" si="26"/>
        <v>0</v>
      </c>
      <c r="I22" s="41"/>
      <c r="J22" s="20"/>
      <c r="K22" s="21"/>
      <c r="L22" s="32">
        <f t="shared" si="27"/>
        <v>0</v>
      </c>
      <c r="M22" s="33">
        <f t="shared" si="28"/>
        <v>0</v>
      </c>
      <c r="N22" s="22"/>
      <c r="O22" s="23">
        <f t="shared" si="29"/>
        <v>0</v>
      </c>
      <c r="Q22" s="5" t="e">
        <f t="shared" si="30"/>
        <v>#N/A</v>
      </c>
      <c r="R22" s="24">
        <f t="shared" si="12"/>
        <v>43946</v>
      </c>
      <c r="S22" s="5" t="e">
        <f t="shared" si="31"/>
        <v>#N/A</v>
      </c>
      <c r="T22" s="25" t="e">
        <f>VLOOKUP(D22,$A$6:$M$31,13,0)</f>
        <v>#N/A</v>
      </c>
      <c r="U22" s="5" t="e">
        <f>VLOOKUP(D22,$A$6:$Q$31,17,0)-Q22</f>
        <v>#N/A</v>
      </c>
      <c r="V22" s="5">
        <f t="shared" si="32"/>
        <v>0</v>
      </c>
      <c r="W22" s="47">
        <f t="shared" si="33"/>
        <v>0</v>
      </c>
    </row>
    <row r="23" spans="1:23">
      <c r="A23" s="26"/>
      <c r="B23" s="26"/>
      <c r="C23" s="26"/>
      <c r="D23" s="27"/>
      <c r="E23" s="45"/>
      <c r="F23" s="46"/>
      <c r="G23" s="34">
        <f t="shared" ref="G23:G24" si="34">H23-E23</f>
        <v>0</v>
      </c>
      <c r="H23" s="35">
        <f t="shared" ref="H23:H24" si="35">WORKDAY.INTL(E23,F23,1)</f>
        <v>0</v>
      </c>
      <c r="I23" s="42"/>
      <c r="J23" s="28"/>
      <c r="K23" s="29"/>
      <c r="L23" s="34">
        <f t="shared" ref="L23:L24" si="36">M23-J23</f>
        <v>0</v>
      </c>
      <c r="M23" s="35">
        <f t="shared" ref="M23:M24" si="37">WORKDAY.INTL(J23,K23,1)</f>
        <v>0</v>
      </c>
      <c r="N23" s="30"/>
      <c r="O23" s="31">
        <f t="shared" ref="O23:O24" si="38">L23*N23</f>
        <v>0</v>
      </c>
      <c r="Q23" s="5" t="e">
        <f t="shared" ref="Q23:Q24" si="39">IF(A23="",NA(),19.1-ROW()+6)</f>
        <v>#N/A</v>
      </c>
      <c r="R23" s="24">
        <f>R18</f>
        <v>43946</v>
      </c>
      <c r="S23" s="5" t="e">
        <f t="shared" ref="S23:S24" si="40">IF(A23="",NA(),19.5-ROW()+6)</f>
        <v>#N/A</v>
      </c>
      <c r="T23" s="25" t="e">
        <f>VLOOKUP(D23,$A$6:$M$31,13,0)</f>
        <v>#N/A</v>
      </c>
      <c r="U23" s="5" t="e">
        <f>VLOOKUP(D23,$A$6:$Q$31,17,0)-Q23</f>
        <v>#N/A</v>
      </c>
      <c r="V23" s="5">
        <f t="shared" ref="V23:V24" si="41">IF(A23=D23,0,T23-J23-0.1)</f>
        <v>0</v>
      </c>
      <c r="W23" s="47">
        <f t="shared" ref="W23:W24" si="42">IF(B23="",C23,C23&amp;" ["&amp;B23&amp;"]")</f>
        <v>0</v>
      </c>
    </row>
    <row r="24" spans="1:23">
      <c r="A24" s="18"/>
      <c r="B24" s="18"/>
      <c r="C24" s="18"/>
      <c r="D24" s="19"/>
      <c r="E24" s="43"/>
      <c r="F24" s="44"/>
      <c r="G24" s="32">
        <f t="shared" si="34"/>
        <v>0</v>
      </c>
      <c r="H24" s="33">
        <f t="shared" si="35"/>
        <v>0</v>
      </c>
      <c r="I24" s="41"/>
      <c r="J24" s="20"/>
      <c r="K24" s="21"/>
      <c r="L24" s="32">
        <f t="shared" si="36"/>
        <v>0</v>
      </c>
      <c r="M24" s="33">
        <f t="shared" si="37"/>
        <v>0</v>
      </c>
      <c r="N24" s="22"/>
      <c r="O24" s="23">
        <f t="shared" si="38"/>
        <v>0</v>
      </c>
      <c r="Q24" s="5" t="e">
        <f t="shared" si="39"/>
        <v>#N/A</v>
      </c>
      <c r="R24" s="24">
        <f t="shared" si="12"/>
        <v>43946</v>
      </c>
      <c r="S24" s="5" t="e">
        <f t="shared" si="40"/>
        <v>#N/A</v>
      </c>
      <c r="T24" s="25" t="e">
        <f>VLOOKUP(D24,$A$6:$M$31,13,0)</f>
        <v>#N/A</v>
      </c>
      <c r="U24" s="5" t="e">
        <f>VLOOKUP(D24,$A$6:$Q$31,17,0)-Q24</f>
        <v>#N/A</v>
      </c>
      <c r="V24" s="5">
        <f t="shared" si="41"/>
        <v>0</v>
      </c>
      <c r="W24" s="47">
        <f t="shared" si="42"/>
        <v>0</v>
      </c>
    </row>
    <row r="25" spans="1:23">
      <c r="A25" s="26"/>
      <c r="B25" s="26"/>
      <c r="C25" s="26" t="s">
        <v>113</v>
      </c>
      <c r="D25" s="27"/>
      <c r="E25" s="45"/>
      <c r="F25" s="46"/>
      <c r="G25" s="34">
        <f t="shared" si="13"/>
        <v>0</v>
      </c>
      <c r="H25" s="35">
        <f t="shared" si="14"/>
        <v>0</v>
      </c>
      <c r="I25" s="42"/>
      <c r="J25" s="28"/>
      <c r="K25" s="29"/>
      <c r="L25" s="34">
        <f t="shared" si="10"/>
        <v>0</v>
      </c>
      <c r="M25" s="35">
        <f t="shared" si="11"/>
        <v>0</v>
      </c>
      <c r="N25" s="30"/>
      <c r="O25" s="31">
        <f t="shared" si="7"/>
        <v>0</v>
      </c>
      <c r="Q25" s="5" t="e">
        <f t="shared" si="15"/>
        <v>#N/A</v>
      </c>
      <c r="R25" s="24">
        <f>R18</f>
        <v>43946</v>
      </c>
      <c r="S25" s="5" t="e">
        <f t="shared" si="1"/>
        <v>#N/A</v>
      </c>
      <c r="T25" s="25" t="e">
        <f>VLOOKUP(D25,$A$6:$M$31,13,0)</f>
        <v>#N/A</v>
      </c>
      <c r="U25" s="5" t="e">
        <f>VLOOKUP(D25,$A$6:$Q$31,17,0)-Q25</f>
        <v>#N/A</v>
      </c>
      <c r="V25" s="5">
        <f t="shared" si="2"/>
        <v>0</v>
      </c>
      <c r="W25" s="47" t="str">
        <f t="shared" si="8"/>
        <v>`</v>
      </c>
    </row>
    <row r="26" spans="1:23">
      <c r="A26" s="18"/>
      <c r="B26" s="18"/>
      <c r="C26" s="18"/>
      <c r="D26" s="19"/>
      <c r="E26" s="43"/>
      <c r="F26" s="44"/>
      <c r="G26" s="32">
        <f t="shared" si="13"/>
        <v>0</v>
      </c>
      <c r="H26" s="33">
        <f t="shared" si="14"/>
        <v>0</v>
      </c>
      <c r="I26" s="41"/>
      <c r="J26" s="20"/>
      <c r="K26" s="21"/>
      <c r="L26" s="32">
        <f t="shared" si="10"/>
        <v>0</v>
      </c>
      <c r="M26" s="33">
        <f t="shared" si="11"/>
        <v>0</v>
      </c>
      <c r="N26" s="22"/>
      <c r="O26" s="23">
        <f t="shared" si="7"/>
        <v>0</v>
      </c>
      <c r="Q26" s="5" t="e">
        <f t="shared" si="15"/>
        <v>#N/A</v>
      </c>
      <c r="R26" s="24">
        <f t="shared" si="12"/>
        <v>43946</v>
      </c>
      <c r="S26" s="5" t="e">
        <f t="shared" si="1"/>
        <v>#N/A</v>
      </c>
      <c r="T26" s="25" t="e">
        <f>VLOOKUP(D26,$A$6:$M$31,13,0)</f>
        <v>#N/A</v>
      </c>
      <c r="U26" s="5" t="e">
        <f>VLOOKUP(D26,$A$6:$Q$31,17,0)-Q26</f>
        <v>#N/A</v>
      </c>
      <c r="V26" s="5">
        <f t="shared" si="2"/>
        <v>0</v>
      </c>
      <c r="W26" s="47">
        <f t="shared" si="8"/>
        <v>0</v>
      </c>
    </row>
    <row r="27" spans="1:23">
      <c r="A27" s="26"/>
      <c r="B27" s="26"/>
      <c r="C27" s="26"/>
      <c r="D27" s="27"/>
      <c r="E27" s="45"/>
      <c r="F27" s="46"/>
      <c r="G27" s="34">
        <f t="shared" si="13"/>
        <v>0</v>
      </c>
      <c r="H27" s="35">
        <f t="shared" si="14"/>
        <v>0</v>
      </c>
      <c r="I27" s="42"/>
      <c r="J27" s="28"/>
      <c r="K27" s="29"/>
      <c r="L27" s="34">
        <f t="shared" si="10"/>
        <v>0</v>
      </c>
      <c r="M27" s="35">
        <f t="shared" si="11"/>
        <v>0</v>
      </c>
      <c r="N27" s="30"/>
      <c r="O27" s="31">
        <f t="shared" si="7"/>
        <v>0</v>
      </c>
      <c r="Q27" s="5" t="e">
        <f t="shared" si="15"/>
        <v>#N/A</v>
      </c>
      <c r="R27" s="24">
        <f t="shared" si="12"/>
        <v>43946</v>
      </c>
      <c r="S27" s="5" t="e">
        <f t="shared" si="1"/>
        <v>#N/A</v>
      </c>
      <c r="T27" s="25" t="e">
        <f>VLOOKUP(D27,$A$6:$M$31,13,0)</f>
        <v>#N/A</v>
      </c>
      <c r="U27" s="5" t="e">
        <f>VLOOKUP(D27,$A$6:$Q$31,17,0)-Q27</f>
        <v>#N/A</v>
      </c>
      <c r="V27" s="5">
        <f t="shared" si="2"/>
        <v>0</v>
      </c>
      <c r="W27" s="47">
        <f t="shared" si="8"/>
        <v>0</v>
      </c>
    </row>
    <row r="28" spans="1:23">
      <c r="A28" s="18"/>
      <c r="B28" s="18"/>
      <c r="C28" s="18"/>
      <c r="D28" s="19"/>
      <c r="E28" s="43"/>
      <c r="F28" s="44"/>
      <c r="G28" s="32">
        <f t="shared" si="13"/>
        <v>0</v>
      </c>
      <c r="H28" s="33">
        <f t="shared" si="14"/>
        <v>0</v>
      </c>
      <c r="I28" s="41"/>
      <c r="J28" s="20"/>
      <c r="K28" s="21"/>
      <c r="L28" s="32">
        <f t="shared" si="10"/>
        <v>0</v>
      </c>
      <c r="M28" s="33">
        <f t="shared" si="11"/>
        <v>0</v>
      </c>
      <c r="N28" s="22"/>
      <c r="O28" s="23">
        <f t="shared" si="7"/>
        <v>0</v>
      </c>
      <c r="Q28" s="5" t="e">
        <f t="shared" si="15"/>
        <v>#N/A</v>
      </c>
      <c r="R28" s="24">
        <f t="shared" si="12"/>
        <v>43946</v>
      </c>
      <c r="S28" s="5" t="e">
        <f t="shared" si="1"/>
        <v>#N/A</v>
      </c>
      <c r="T28" s="25" t="e">
        <f>VLOOKUP(D28,$A$6:$M$31,13,0)</f>
        <v>#N/A</v>
      </c>
      <c r="U28" s="5" t="e">
        <f>VLOOKUP(D28,$A$6:$Q$31,17,0)-Q28</f>
        <v>#N/A</v>
      </c>
      <c r="V28" s="5">
        <f t="shared" si="2"/>
        <v>0</v>
      </c>
      <c r="W28" s="47">
        <f t="shared" si="8"/>
        <v>0</v>
      </c>
    </row>
    <row r="29" spans="1:23">
      <c r="A29" s="26"/>
      <c r="B29" s="26"/>
      <c r="C29" s="26"/>
      <c r="D29" s="27"/>
      <c r="E29" s="45"/>
      <c r="F29" s="46"/>
      <c r="G29" s="34">
        <f t="shared" si="13"/>
        <v>0</v>
      </c>
      <c r="H29" s="35">
        <f t="shared" si="14"/>
        <v>0</v>
      </c>
      <c r="I29" s="42"/>
      <c r="J29" s="28"/>
      <c r="K29" s="29"/>
      <c r="L29" s="34">
        <f t="shared" si="10"/>
        <v>0</v>
      </c>
      <c r="M29" s="35">
        <f t="shared" si="11"/>
        <v>0</v>
      </c>
      <c r="N29" s="30"/>
      <c r="O29" s="31">
        <f t="shared" si="7"/>
        <v>0</v>
      </c>
      <c r="Q29" s="5" t="e">
        <f t="shared" si="15"/>
        <v>#N/A</v>
      </c>
      <c r="R29" s="24">
        <f t="shared" si="12"/>
        <v>43946</v>
      </c>
      <c r="S29" s="5" t="e">
        <f t="shared" si="1"/>
        <v>#N/A</v>
      </c>
      <c r="T29" s="25" t="e">
        <f>VLOOKUP(D29,$A$6:$M$31,13,0)</f>
        <v>#N/A</v>
      </c>
      <c r="U29" s="5" t="e">
        <f>VLOOKUP(D29,$A$6:$Q$31,17,0)-Q29</f>
        <v>#N/A</v>
      </c>
      <c r="V29" s="5">
        <f t="shared" si="2"/>
        <v>0</v>
      </c>
      <c r="W29" s="47">
        <f t="shared" si="8"/>
        <v>0</v>
      </c>
    </row>
    <row r="30" spans="1:23">
      <c r="A30" s="18"/>
      <c r="B30" s="18"/>
      <c r="C30" s="18"/>
      <c r="D30" s="19"/>
      <c r="E30" s="43"/>
      <c r="F30" s="44"/>
      <c r="G30" s="32">
        <f t="shared" si="13"/>
        <v>0</v>
      </c>
      <c r="H30" s="33">
        <f t="shared" si="14"/>
        <v>0</v>
      </c>
      <c r="I30" s="41"/>
      <c r="J30" s="20"/>
      <c r="K30" s="21"/>
      <c r="L30" s="32">
        <f t="shared" si="10"/>
        <v>0</v>
      </c>
      <c r="M30" s="33">
        <f t="shared" si="11"/>
        <v>0</v>
      </c>
      <c r="N30" s="22"/>
      <c r="O30" s="23">
        <f t="shared" si="7"/>
        <v>0</v>
      </c>
      <c r="Q30" s="5" t="e">
        <f t="shared" si="15"/>
        <v>#N/A</v>
      </c>
      <c r="R30" s="24">
        <f t="shared" si="12"/>
        <v>43946</v>
      </c>
      <c r="S30" s="5" t="e">
        <f t="shared" si="1"/>
        <v>#N/A</v>
      </c>
      <c r="T30" s="25" t="e">
        <f>VLOOKUP(D30,$A$6:$M$31,13,0)</f>
        <v>#N/A</v>
      </c>
      <c r="U30" s="5" t="e">
        <f>VLOOKUP(D30,$A$6:$Q$31,17,0)-Q30</f>
        <v>#N/A</v>
      </c>
      <c r="V30" s="5">
        <f t="shared" si="2"/>
        <v>0</v>
      </c>
      <c r="W30" s="47">
        <f t="shared" si="8"/>
        <v>0</v>
      </c>
    </row>
    <row r="31" spans="1:23">
      <c r="A31" s="26"/>
      <c r="B31" s="26"/>
      <c r="C31" s="26"/>
      <c r="D31" s="27"/>
      <c r="E31" s="45"/>
      <c r="F31" s="46"/>
      <c r="G31" s="34">
        <f t="shared" si="13"/>
        <v>0</v>
      </c>
      <c r="H31" s="35">
        <f t="shared" si="14"/>
        <v>0</v>
      </c>
      <c r="I31" s="42"/>
      <c r="J31" s="28"/>
      <c r="K31" s="29"/>
      <c r="L31" s="34">
        <f t="shared" si="10"/>
        <v>0</v>
      </c>
      <c r="M31" s="35">
        <f t="shared" si="11"/>
        <v>0</v>
      </c>
      <c r="N31" s="30"/>
      <c r="O31" s="31">
        <f t="shared" si="7"/>
        <v>0</v>
      </c>
      <c r="Q31" s="5">
        <v>0.1</v>
      </c>
      <c r="R31" s="24">
        <f t="shared" si="12"/>
        <v>43946</v>
      </c>
      <c r="S31" s="5">
        <v>0.5</v>
      </c>
      <c r="T31" s="25" t="e">
        <f>VLOOKUP(D31,$A$6:$M$31,13,0)</f>
        <v>#N/A</v>
      </c>
      <c r="U31" s="5" t="e">
        <f>VLOOKUP(D31,$A$6:$Q$31,17,0)-Q31</f>
        <v>#N/A</v>
      </c>
      <c r="V31" s="5">
        <f t="shared" si="2"/>
        <v>0</v>
      </c>
      <c r="W31" s="47">
        <f t="shared" si="8"/>
        <v>0</v>
      </c>
    </row>
    <row r="32" spans="1:23" s="3" customFormat="1">
      <c r="A32" s="5"/>
      <c r="B32" s="5"/>
      <c r="C32" s="5"/>
      <c r="D32" s="5"/>
      <c r="E32" s="4"/>
      <c r="O32" s="5"/>
      <c r="P32" s="5"/>
      <c r="Q32" s="5"/>
      <c r="R32" s="5"/>
      <c r="S32" s="5"/>
      <c r="T32" s="5"/>
      <c r="U32" s="5"/>
      <c r="V32" s="5"/>
    </row>
  </sheetData>
  <mergeCells count="2">
    <mergeCell ref="E4:H4"/>
    <mergeCell ref="J4:O4"/>
  </mergeCells>
  <phoneticPr fontId="3" type="noConversion"/>
  <dataValidations count="1">
    <dataValidation type="list" allowBlank="1" showInputMessage="1" showErrorMessage="1" sqref="D6:D31" xr:uid="{D9BC0595-27E3-448A-BBEC-BBC0B910A6BC}">
      <formula1>OFFSET($A$6,,,COUNTA($A$6:$A$31))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스타일1</vt:lpstr>
      <vt:lpstr>스타일2</vt:lpstr>
      <vt:lpstr>스타일2!Print_Area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영준 김</cp:lastModifiedBy>
  <cp:lastPrinted>2020-06-01T17:08:21Z</cp:lastPrinted>
  <dcterms:created xsi:type="dcterms:W3CDTF">2020-06-01T15:01:19Z</dcterms:created>
  <dcterms:modified xsi:type="dcterms:W3CDTF">2025-12-21T03:50:28Z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0b6fa8-0d36-45a6-9a6a-767d9ca20d0f_Enabled">
    <vt:lpwstr>true</vt:lpwstr>
  </property>
  <property fmtid="{D5CDD505-2E9C-101B-9397-08002B2CF9AE}" pid="3" name="MSIP_Label_890b6fa8-0d36-45a6-9a6a-767d9ca20d0f_SetDate">
    <vt:lpwstr>2025-04-14T11:39:50Z</vt:lpwstr>
  </property>
  <property fmtid="{D5CDD505-2E9C-101B-9397-08002B2CF9AE}" pid="4" name="MSIP_Label_890b6fa8-0d36-45a6-9a6a-767d9ca20d0f_Method">
    <vt:lpwstr>Standard</vt:lpwstr>
  </property>
  <property fmtid="{D5CDD505-2E9C-101B-9397-08002B2CF9AE}" pid="5" name="MSIP_Label_890b6fa8-0d36-45a6-9a6a-767d9ca20d0f_Name">
    <vt:lpwstr>defa4170-0d19-0005-0003-bc88714345d2</vt:lpwstr>
  </property>
  <property fmtid="{D5CDD505-2E9C-101B-9397-08002B2CF9AE}" pid="6" name="MSIP_Label_890b6fa8-0d36-45a6-9a6a-767d9ca20d0f_SiteId">
    <vt:lpwstr>fd266056-23ff-4060-b956-9e8544fe3081</vt:lpwstr>
  </property>
  <property fmtid="{D5CDD505-2E9C-101B-9397-08002B2CF9AE}" pid="7" name="MSIP_Label_890b6fa8-0d36-45a6-9a6a-767d9ca20d0f_ActionId">
    <vt:lpwstr>cae190d4-fb69-4890-944d-8937e43dc4d9</vt:lpwstr>
  </property>
  <property fmtid="{D5CDD505-2E9C-101B-9397-08002B2CF9AE}" pid="8" name="MSIP_Label_890b6fa8-0d36-45a6-9a6a-767d9ca20d0f_ContentBits">
    <vt:lpwstr>0</vt:lpwstr>
  </property>
  <property fmtid="{D5CDD505-2E9C-101B-9397-08002B2CF9AE}" pid="9" name="MSIP_Label_890b6fa8-0d36-45a6-9a6a-767d9ca20d0f_Tag">
    <vt:lpwstr>10, 3, 0, 1</vt:lpwstr>
  </property>
</Properties>
</file>